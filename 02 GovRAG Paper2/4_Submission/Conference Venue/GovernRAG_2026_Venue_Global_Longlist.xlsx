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bb9ba5cd4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Comparison" sheetId="1" r:id="R22230800b9d54641"/>
    <x:sheet xmlns:r="http://schemas.openxmlformats.org/officeDocument/2006/relationships" name="Closed-Rejected" sheetId="2" r:id="Rea13266683954fdd"/>
    <x:sheet xmlns:r="http://schemas.openxmlformats.org/officeDocument/2006/relationships" name="Scoring Method" sheetId="3" r:id="R5c8b66ddaf6945e9"/>
    <x:sheet xmlns:r="http://schemas.openxmlformats.org/officeDocument/2006/relationships" name="Search Sources" sheetId="4" r:id="R8606604bd85a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7607c9dab47a3" /><Relationship Type="http://schemas.openxmlformats.org/officeDocument/2006/relationships/theme" Target="/xl/theme/theme1.xml" Id="R919eef6e92ad4577" /><Relationship Type="http://schemas.openxmlformats.org/officeDocument/2006/relationships/sharedStrings" Target="/xl/sharedStrings.xml" Id="R6882d990d10e41ca" /><Relationship Type="http://schemas.openxmlformats.org/officeDocument/2006/relationships/worksheet" Target="/xl/worksheets/sheet1.xml" Id="R22230800b9d54641" /><Relationship Type="http://schemas.openxmlformats.org/officeDocument/2006/relationships/worksheet" Target="/xl/worksheets/sheet2.xml" Id="Rea13266683954fdd" /><Relationship Type="http://schemas.openxmlformats.org/officeDocument/2006/relationships/worksheet" Target="/xl/worksheets/sheet3.xml" Id="R5c8b66ddaf6945e9" /><Relationship Type="http://schemas.openxmlformats.org/officeDocument/2006/relationships/worksheet" Target="/xl/worksheets/sheet4.xml" Id="R8606604bd85a4f25" /></Relationships>
</file>

<file path=xl/tables/table1.xml><?xml version="1.0" encoding="utf-8"?>
<x:table xmlns:x="http://schemas.openxmlformats.org/spreadsheetml/2006/main" id="1" name="CandidateTable" displayName="CandidateTable" ref="A1:R20" headerRowCount="1">
  <x:tableColumns count="18">
    <x:tableColumn id="1" name="Venue"/>
    <x:tableColumn id="2" name="Type"/>
    <x:tableColumn id="3" name="UALR gate"/>
    <x:tableColumn id="4" name="Peer review"/>
    <x:tableColumn id="5" name="Proceedings/journal"/>
    <x:tableColumn id="6" name="Submission"/>
    <x:tableColumn id="7" name="Final decision"/>
    <x:tableColumn id="8" name="Acceptance notice"/>
    <x:tableColumn id="9" name="Paper fit"/>
    <x:tableColumn id="10" name="Reliability"/>
    <x:tableColumn id="11" name="Acceptance risk"/>
    <x:tableColumn id="12" name="Recovery value"/>
    <x:tableColumn id="13" name="Weighted score"/>
    <x:tableColumn id="14" name="Status"/>
    <x:tableColumn id="15" name="Timing score"/>
    <x:tableColumn id="16" name="Primary source"/>
    <x:tableColumn id="17" name="Secondary source"/>
    <x:tableColumn id="18" name="Evidence / rejection 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RejectedTable" displayName="RejectedTable" ref="A1:R15" headerRowCount="1">
  <x:tableColumns count="18">
    <x:tableColumn id="1" name="Venue"/>
    <x:tableColumn id="2" name="Type"/>
    <x:tableColumn id="3" name="UALR gate"/>
    <x:tableColumn id="4" name="Peer review"/>
    <x:tableColumn id="5" name="Proceedings/journal"/>
    <x:tableColumn id="6" name="Submission"/>
    <x:tableColumn id="7" name="Final decision"/>
    <x:tableColumn id="8" name="Acceptance notice"/>
    <x:tableColumn id="9" name="Paper fit"/>
    <x:tableColumn id="10" name="Reliability"/>
    <x:tableColumn id="11" name="Acceptance risk"/>
    <x:tableColumn id="12" name="Recovery value"/>
    <x:tableColumn id="13" name="Weighted score"/>
    <x:tableColumn id="14" name="Status"/>
    <x:tableColumn id="15" name="Timing score"/>
    <x:tableColumn id="16" name="Primary source"/>
    <x:tableColumn id="17" name="Secondary source"/>
    <x:tableColumn id="18" name="Evidence / rejection rationale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C17" headerRowCount="1">
  <x:tableColumns count="3">
    <x:tableColumn id="1" name="Source category"/>
    <x:tableColumn id="2" name="Source"/>
    <x:tableColumn id="3" name="Use in the sc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29268d8ea540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858eb3721740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d6e535760248f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8" hidden="0" customWidth="1"/>
    <x:col min="5" max="5" width="30" hidden="0" customWidth="1"/>
    <x:col min="6" max="6" width="13" hidden="0" customWidth="1"/>
    <x:col min="7" max="7" width="13" hidden="0" customWidth="1"/>
    <x:col min="8" max="8" width="2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38" hidden="0" customWidth="1"/>
    <x:col min="15" max="15" width="13" hidden="0" customWidth="1"/>
    <x:col min="16" max="16" width="42" hidden="0" customWidth="1"/>
    <x:col min="17" max="17" width="42" hidden="0" customWidth="1"/>
    <x:col min="18" max="18" width="54" hidden="0" customWidth="1"/>
  </x:cols>
  <x:sheetData>
    <x:row r="1">
      <x:c r="A1" s="6" t="str">
        <x:v>Venue</x:v>
      </x:c>
      <x:c r="B1" s="6" t="str">
        <x:v>Type</x:v>
      </x:c>
      <x:c r="C1" s="6" t="str">
        <x:v>UALR gate</x:v>
      </x:c>
      <x:c r="D1" s="6" t="str">
        <x:v>Peer review</x:v>
      </x:c>
      <x:c r="E1" s="6" t="str">
        <x:v>Proceedings/journal</x:v>
      </x:c>
      <x:c r="F1" s="6" t="str">
        <x:v>Submission</x:v>
      </x:c>
      <x:c r="G1" s="6" t="str">
        <x:v>Final decision</x:v>
      </x:c>
      <x:c r="H1" s="6" t="str">
        <x:v>Acceptance notice</x:v>
      </x:c>
      <x:c r="I1" s="6" t="str">
        <x:v>Paper fit</x:v>
      </x:c>
      <x:c r="J1" s="6" t="str">
        <x:v>Reliability</x:v>
      </x:c>
      <x:c r="K1" s="6" t="str">
        <x:v>Acceptance risk</x:v>
      </x:c>
      <x:c r="L1" s="6" t="str">
        <x:v>Recovery value</x:v>
      </x:c>
      <x:c r="M1" s="6" t="str">
        <x:v>Weighted score</x:v>
      </x:c>
      <x:c r="N1" s="6" t="str">
        <x:v>Status</x:v>
      </x:c>
      <x:c r="O1" s="6" t="str">
        <x:v>Timing score</x:v>
      </x:c>
      <x:c r="P1" s="6" t="str">
        <x:v>Primary source</x:v>
      </x:c>
      <x:c r="Q1" s="6" t="str">
        <x:v>Secondary source</x:v>
      </x:c>
      <x:c r="R1" s="6" t="str">
        <x:v>Evidence / rejection rationale</x:v>
      </x:c>
    </x:row>
    <x:row r="2">
      <x:c r="A2" s="12" t="str">
        <x:v>AKBC 2026</x:v>
      </x:c>
      <x:c r="B2" s="12" t="str">
        <x:v>Workshop</x:v>
      </x:c>
      <x:c r="C2" s="12" t="str">
        <x:v>Conditional</x:v>
      </x:c>
      <x:c r="D2" s="12" t="str">
        <x:v>Double-blind; research-paper review</x:v>
      </x:c>
      <x:c r="E2" s="12" t="str">
        <x:v>EMNLP-affiliated workshop proceedings</x:v>
      </x:c>
      <x:c r="F2" s="14" t="n">
        <x:v>46230</x:v>
      </x:c>
      <x:c r="G2" s="14" t="n">
        <x:v>46266</x:v>
      </x:c>
      <x:c r="H2" s="12" t="str">
        <x:v>Expected; confirm exact wording</x:v>
      </x:c>
      <x:c r="I2" s="12" t="n">
        <x:v>5</x:v>
      </x:c>
      <x:c r="J2" s="12" t="n">
        <x:v>4.5</x:v>
      </x:c>
      <x:c r="K2" s="12" t="n">
        <x:v>3</x:v>
      </x:c>
      <x:c r="L2" s="12" t="n">
        <x:v>4</x:v>
      </x:c>
      <x:c r="M2" s="12" t="n">
        <x:f>ROUND(20*(0.25*O2+0.25*J2+0.25*I2+0.15*K2+0.10*L2),1)</x:f>
        <x:v>87</x:v>
      </x:c>
      <x:c r="N2" s="12" t="str">
        <x:v>SHORTLIST—only if a polished paper is ready by July 27</x:v>
      </x:c>
      <x:c r="O2" s="12" t="n">
        <x:v>4.5</x:v>
      </x:c>
      <x:c r="P2" s="12" t="str">
        <x:v>https://www.akbc.ws/2026/</x:v>
      </x:c>
      <x:c r="Q2" s="12" t="str">
        <x:v>https://2026.emnlp.org/</x:v>
      </x:c>
      <x:c r="R2" s="12" t="str">
        <x:v>Excellent fit for RAG with structured sources, knowledge graphs, attribution, evaluation and trustworthy AI. Workshop proceedings require explicit committee approval.</x:v>
      </x:c>
    </x:row>
    <x:row r="3">
      <x:c r="A3" s="12" t="str">
        <x:v>WAAI 2026</x:v>
      </x:c>
      <x:c r="B3" s="12" t="str">
        <x:v>Workshop</x:v>
      </x:c>
      <x:c r="C3" s="12" t="str">
        <x:v>Conditional</x:v>
      </x:c>
      <x:c r="D3" s="12" t="str">
        <x:v>Double-blind; at least 2 experts</x:v>
      </x:c>
      <x:c r="E3" s="12" t="str">
        <x:v>CEUR Workshop Proceedings planned/submitted</x:v>
      </x:c>
      <x:c r="F3" s="14" t="n">
        <x:v>46243</x:v>
      </x:c>
      <x:c r="G3" s="14" t="n">
        <x:v>46257</x:v>
      </x:c>
      <x:c r="H3" s="12" t="str">
        <x:v>Must confirm 'accepted for publication'</x:v>
      </x:c>
      <x:c r="I3" s="12" t="n">
        <x:v>4</x:v>
      </x:c>
      <x:c r="J3" s="12" t="n">
        <x:v>3.5</x:v>
      </x:c>
      <x:c r="K3" s="12" t="n">
        <x:v>3.5</x:v>
      </x:c>
      <x:c r="L3" s="12" t="n">
        <x:v>5</x:v>
      </x:c>
      <x:c r="M3" s="12" t="n">
        <x:f>ROUND(20*(0.25*O3+0.25*J3+0.25*I3+0.15*K3+0.10*L3),1)</x:f>
        <x:v>83</x:v>
      </x:c>
      <x:c r="N3" s="12" t="str">
        <x:v>SHORTLIST—best early-decision workshop if CEUR route is approved</x:v>
      </x:c>
      <x:c r="O3" s="12" t="n">
        <x:v>5</x:v>
      </x:c>
      <x:c r="P3" s="12" t="str">
        <x:v>https://grupogemis.com.ar/icai/waai/2026/</x:v>
      </x:c>
      <x:c r="Q3" s="12" t="str">
        <x:v>https://icai.itiud.org/?pid=acceptedWorkshops</x:v>
      </x:c>
      <x:c r="R3" s="12" t="str">
        <x:v>Very favorable calendar and full-paper length. Publication is described as submission to CEUR rather than an unconditional 2026 guarantee.</x:v>
      </x:c>
    </x:row>
    <x:row r="4">
      <x:c r="A4" s="12" t="str">
        <x:v>GAISS 2026</x:v>
      </x:c>
      <x:c r="B4" s="12" t="str">
        <x:v>Main conference</x:v>
      </x:c>
      <x:c r="C4" s="12" t="str">
        <x:v>Conditional</x:v>
      </x:c>
      <x:c r="D4" s="12" t="str">
        <x:v>Double-blind</x:v>
      </x:c>
      <x:c r="E4" s="12" t="str">
        <x:v>IEEE proceedings; Xplore subject to scope/quality requirements</x:v>
      </x:c>
      <x:c r="F4" s="14" t="n">
        <x:v>46233</x:v>
      </x:c>
      <x:c r="G4" s="14" t="n">
        <x:v>46244</x:v>
      </x:c>
      <x:c r="H4" s="12" t="str">
        <x:v>Expected; independently verify conference record</x:v>
      </x:c>
      <x:c r="I4" s="12" t="n">
        <x:v>4.5</x:v>
      </x:c>
      <x:c r="J4" s="12" t="n">
        <x:v>3</x:v>
      </x:c>
      <x:c r="K4" s="12" t="n">
        <x:v>3</x:v>
      </x:c>
      <x:c r="L4" s="12" t="n">
        <x:v>5</x:v>
      </x:c>
      <x:c r="M4" s="12" t="n">
        <x:f>ROUND(20*(0.25*O4+0.25*J4+0.25*I4+0.15*K4+0.10*L4),1)</x:f>
        <x:v>81.5</x:v>
      </x:c>
      <x:c r="N4" s="12" t="str">
        <x:v>CONDITIONAL—very early decision, but independently verify IEEE status</x:v>
      </x:c>
      <x:c r="O4" s="12" t="n">
        <x:v>5</x:v>
      </x:c>
      <x:c r="P4" s="12" t="str">
        <x:v>https://gaiss.gyancity.com/</x:v>
      </x:c>
      <x:c r="Q4" s="12" t="str">
        <x:v>https://gaiss.info/call-for-papers</x:v>
      </x:c>
      <x:c r="R4" s="12" t="str">
        <x:v>Direct fit for governance, audit trails, policy gates, metrics and secure GenAI. New venue and unusually short review cycle require verification through the IEEE conference record.</x:v>
      </x:c>
    </x:row>
    <x:row r="5">
      <x:c r="A5" s="12" t="str">
        <x:v>IEEE DASC 2026</x:v>
      </x:c>
      <x:c r="B5" s="12" t="str">
        <x:v>Main conference</x:v>
      </x:c>
      <x:c r="C5" s="12" t="str">
        <x:v>Pass pending committee</x:v>
      </x:c>
      <x:c r="D5" s="12" t="str">
        <x:v>Peer review; reviewer count not stated on reviewed page</x:v>
      </x:c>
      <x:c r="E5" s="12" t="str">
        <x:v>IEEE Computer Society proceedings</x:v>
      </x:c>
      <x:c r="F5" s="14" t="n">
        <x:v>46234</x:v>
      </x:c>
      <x:c r="G5" s="14" t="n">
        <x:v>46266</x:v>
      </x:c>
      <x:c r="H5" s="12" t="str">
        <x:v>Expected</x:v>
      </x:c>
      <x:c r="I5" s="12" t="n">
        <x:v>4</x:v>
      </x:c>
      <x:c r="J5" s="12" t="n">
        <x:v>5</x:v>
      </x:c>
      <x:c r="K5" s="12" t="n">
        <x:v>2.5</x:v>
      </x:c>
      <x:c r="L5" s="12" t="n">
        <x:v>4</x:v>
      </x:c>
      <x:c r="M5" s="12" t="n">
        <x:f>ROUND(20*(0.25*O5+0.25*J5+0.25*I5+0.15*K5+0.10*L5),1)</x:f>
        <x:v>83</x:v>
      </x:c>
      <x:c r="N5" s="12" t="str">
        <x:v>SHORTLIST—strong reliable route with security/reliability framing</x:v>
      </x:c>
      <x:c r="O5" s="12" t="n">
        <x:v>4.5</x:v>
      </x:c>
      <x:c r="P5" s="12" t="str">
        <x:v>https://cyber-science.org/2026/dasc/callpaper/</x:v>
      </x:c>
      <x:c r="Q5" s="12" t="str">
        <x:v>https://cyber-science.org/2026/dasc/papersubmissions/</x:v>
      </x:c>
      <x:c r="R5" s="12" t="str">
        <x:v>Fits security auditing, compliance, trust management and trustworthy/safe AI. Requires a strong reference-monitor and information-flow framing.</x:v>
      </x:c>
    </x:row>
    <x:row r="6">
      <x:c r="A6" s="12" t="str">
        <x:v>Learning on Graphs 2026</x:v>
      </x:c>
      <x:c r="B6" s="12" t="str">
        <x:v>Main conference</x:v>
      </x:c>
      <x:c r="C6" s="12" t="str">
        <x:v>Pass pending committee</x:v>
      </x:c>
      <x:c r="D6" s="12" t="str">
        <x:v>Double-blind via OpenReview</x:v>
      </x:c>
      <x:c r="E6" s="12" t="str">
        <x:v>Proceedings of Machine Learning Research (PMLR)</x:v>
      </x:c>
      <x:c r="F6" s="14" t="n">
        <x:v>46235</x:v>
      </x:c>
      <x:c r="G6" s="14" t="n">
        <x:v>46278</x:v>
      </x:c>
      <x:c r="H6" s="12" t="str">
        <x:v>Expected</x:v>
      </x:c>
      <x:c r="I6" s="12" t="n">
        <x:v>3</x:v>
      </x:c>
      <x:c r="J6" s="12" t="n">
        <x:v>5</x:v>
      </x:c>
      <x:c r="K6" s="12" t="n">
        <x:v>2</x:v>
      </x:c>
      <x:c r="L6" s="12" t="n">
        <x:v>2.5</x:v>
      </x:c>
      <x:c r="M6" s="12" t="n">
        <x:f>ROUND(20*(0.25*O6+0.25*J6+0.25*I6+0.15*K6+0.10*L6),1)</x:f>
        <x:v>71</x:v>
      </x:c>
      <x:c r="N6" s="12" t="str">
        <x:v>CONDITIONAL—publisher is strong; scope inquiry recommended</x:v>
      </x:c>
      <x:c r="O6" s="12" t="n">
        <x:v>4</x:v>
      </x:c>
      <x:c r="P6" s="12" t="str">
        <x:v>https://logconference.org/cfp/</x:v>
      </x:c>
      <x:c r="Q6" s="12" t="str">
        <x:v>https://proceedings.mlr.press/</x:v>
      </x:c>
      <x:c r="R6" s="12" t="str">
        <x:v>Strong publication reliability, but GovernRAG is KG-derived governance rather than a new graph-learning method. Reviewers may see a scope mismatch.</x:v>
      </x:c>
    </x:row>
    <x:row r="7">
      <x:c r="A7" s="12" t="str">
        <x:v>KGSWC 2026</x:v>
      </x:c>
      <x:c r="B7" s="12" t="str">
        <x:v>Main conference</x:v>
      </x:c>
      <x:c r="C7" s="12" t="str">
        <x:v>Conditional</x:v>
      </x:c>
      <x:c r="D7" s="12" t="str">
        <x:v>Double-blind; at least 3 independent reviewers</x:v>
      </x:c>
      <x:c r="E7" s="12" t="str">
        <x:v>Springer LNCS publication described as planned</x:v>
      </x:c>
      <x:c r="F7" s="14" t="n">
        <x:v>46244</x:v>
      </x:c>
      <x:c r="G7" s="14" t="n">
        <x:v>46275</x:v>
      </x:c>
      <x:c r="H7" s="12" t="str">
        <x:v>Must confirm after publisher approval</x:v>
      </x:c>
      <x:c r="I7" s="12" t="n">
        <x:v>5</x:v>
      </x:c>
      <x:c r="J7" s="12" t="n">
        <x:v>3</x:v>
      </x:c>
      <x:c r="K7" s="12" t="n">
        <x:v>3.5</x:v>
      </x:c>
      <x:c r="L7" s="12" t="n">
        <x:v>3</x:v>
      </x:c>
      <x:c r="M7" s="12" t="n">
        <x:f>ROUND(20*(0.25*O7+0.25*J7+0.25*I7+0.15*K7+0.10*L7),1)</x:f>
        <x:v>76.5</x:v>
      </x:c>
      <x:c r="N7" s="12" t="str">
        <x:v>SHORTLIST CONDITIONALLY—excellent fit; confirm LNCS contract</x:v>
      </x:c>
      <x:c r="O7" s="12" t="n">
        <x:v>4</x:v>
      </x:c>
      <x:c r="P7" s="12" t="str">
        <x:v>https://kgsw.org/call_for_paper.php</x:v>
      </x:c>
      <x:c r="Q7" s="12" t="str">
        <x:v>https://easychair.org/cfp/KGSWC-2026</x:v>
      </x:c>
      <x:c r="R7" s="12" t="str">
        <x:v>Excellent fit for ontologies, knowledge graphs with LLMs, reasoning and empirical evaluation. Do not rely on it until the 2026 proceedings publisher is confirmed.</x:v>
      </x:c>
    </x:row>
    <x:row r="8">
      <x:c r="A8" s="12" t="str">
        <x:v>IEEE TPS 2026</x:v>
      </x:c>
      <x:c r="B8" s="12" t="str">
        <x:v>Main conference</x:v>
      </x:c>
      <x:c r="C8" s="12" t="str">
        <x:v>Pass pending committee</x:v>
      </x:c>
      <x:c r="D8" s="12" t="str">
        <x:v>Peer-reviewed IEEE research track</x:v>
      </x:c>
      <x:c r="E8" s="12" t="str">
        <x:v>IEEE Computer Society/CPS proceedings</x:v>
      </x:c>
      <x:c r="F8" s="14" t="n">
        <x:v>46249</x:v>
      </x:c>
      <x:c r="G8" s="14" t="n">
        <x:v>46285</x:v>
      </x:c>
      <x:c r="H8" s="12" t="str">
        <x:v>Expected</x:v>
      </x:c>
      <x:c r="I8" s="12" t="n">
        <x:v>5</x:v>
      </x:c>
      <x:c r="J8" s="12" t="n">
        <x:v>5</x:v>
      </x:c>
      <x:c r="K8" s="12" t="n">
        <x:v>2.5</x:v>
      </x:c>
      <x:c r="L8" s="12" t="n">
        <x:v>1.5</x:v>
      </x:c>
      <x:c r="M8" s="12" t="n">
        <x:f>ROUND(20*(0.25*O8+0.25*J8+0.25*I8+0.15*K8+0.10*L8),1)</x:f>
        <x:v>78</x:v>
      </x:c>
      <x:c r="N8" s="12" t="str">
        <x:v>SHORTLIST—strongest conventional topic fit</x:v>
      </x:c>
      <x:c r="O8" s="12" t="n">
        <x:v>3.5</x:v>
      </x:c>
      <x:c r="P8" s="12" t="str">
        <x:v>https://www.ieee-security.org/Calendar/cfps/cfp-TPS2026.html</x:v>
      </x:c>
      <x:c r="Q8" s="12" t="str">
        <x:v>https://tps.ieee-cs.org/2026/</x:v>
      </x:c>
      <x:c r="R8" s="12" t="str">
        <x:v>Direct match to trusted AI, access/trust management, provenance, secure information flow and risk metrics. Later decision reduces sequential fallback options.</x:v>
      </x:c>
    </x:row>
    <x:row r="9">
      <x:c r="A9" s="12" t="str">
        <x:v>NordSec 2026</x:v>
      </x:c>
      <x:c r="B9" s="12" t="str">
        <x:v>Main conference</x:v>
      </x:c>
      <x:c r="C9" s="12" t="str">
        <x:v>Pass pending committee</x:v>
      </x:c>
      <x:c r="D9" s="12" t="str">
        <x:v>Double-blind; at least 3 reviewers</x:v>
      </x:c>
      <x:c r="E9" s="12" t="str">
        <x:v>Springer LNCS</x:v>
      </x:c>
      <x:c r="F9" s="14" t="n">
        <x:v>46251</x:v>
      </x:c>
      <x:c r="G9" s="14" t="n">
        <x:v>46284</x:v>
      </x:c>
      <x:c r="H9" s="12" t="str">
        <x:v>Expected</x:v>
      </x:c>
      <x:c r="I9" s="12" t="n">
        <x:v>4</x:v>
      </x:c>
      <x:c r="J9" s="12" t="n">
        <x:v>5</x:v>
      </x:c>
      <x:c r="K9" s="12" t="n">
        <x:v>2.5</x:v>
      </x:c>
      <x:c r="L9" s="12" t="n">
        <x:v>1.5</x:v>
      </x:c>
      <x:c r="M9" s="12" t="n">
        <x:f>ROUND(20*(0.25*O9+0.25*J9+0.25*I9+0.15*K9+0.10*L9),1)</x:f>
        <x:v>73</x:v>
      </x:c>
      <x:c r="N9" s="12" t="str">
        <x:v>SHORTLIST—credible security route</x:v>
      </x:c>
      <x:c r="O9" s="12" t="n">
        <x:v>3.5</x:v>
      </x:c>
      <x:c r="P9" s="12" t="str">
        <x:v>https://nordsec2026.dk/</x:v>
      </x:c>
      <x:c r="Q9" s="12" t="str">
        <x:v>https://easychair.org/cfp/NordSec2026</x:v>
      </x:c>
      <x:c r="R9" s="12" t="str">
        <x:v>Good fit under authorization, least privilege, information-flow control, auditability and trustworthy AI. Security novelty expectations may be demanding.</x:v>
      </x:c>
    </x:row>
    <x:row r="10">
      <x:c r="A10" s="12" t="str">
        <x:v>RSC 2026 — Round 2</x:v>
      </x:c>
      <x:c r="B10" s="12" t="str">
        <x:v>Main conference</x:v>
      </x:c>
      <x:c r="C10" s="12" t="str">
        <x:v>Pass pending committee</x:v>
      </x:c>
      <x:c r="D10" s="12" t="str">
        <x:v>Double-blind</x:v>
      </x:c>
      <x:c r="E10" s="12" t="str">
        <x:v>Springer CCIS</x:v>
      </x:c>
      <x:c r="F10" s="14" t="n">
        <x:v>46265</x:v>
      </x:c>
      <x:c r="G10" s="14" t="n">
        <x:v>46295</x:v>
      </x:c>
      <x:c r="H10" s="12" t="str">
        <x:v>Expected</x:v>
      </x:c>
      <x:c r="I10" s="12" t="n">
        <x:v>4</x:v>
      </x:c>
      <x:c r="J10" s="12" t="n">
        <x:v>4.5</x:v>
      </x:c>
      <x:c r="K10" s="12" t="n">
        <x:v>3</x:v>
      </x:c>
      <x:c r="L10" s="12" t="n">
        <x:v>1</x:v>
      </x:c>
      <x:c r="M10" s="12" t="n">
        <x:f>ROUND(20*(0.25*O10+0.25*J10+0.25*I10+0.15*K10+0.10*L10),1)</x:f>
        <x:v>68.5</x:v>
      </x:c>
      <x:c r="N10" s="12" t="str">
        <x:v>SHORTLIST AS LATE FALLBACK</x:v>
      </x:c>
      <x:c r="O10" s="12" t="n">
        <x:v>3</x:v>
      </x:c>
      <x:c r="P10" s="12" t="str">
        <x:v>https://easychair.org/cfp/rsc2026</x:v>
      </x:c>
      <x:c r="Q10" s="12" t="str"/>
      <x:c r="R10" s="12" t="str">
        <x:v>Confirmed Springer route and useful trustworthy/reliable AI scope. Final decision is at the end of September, leaving little recovery time.</x:v>
      </x:c>
    </x:row>
    <x:row r="11">
      <x:c r="A11" s="12" t="str">
        <x:v>IJCKG 2026 KGE-LLM</x:v>
      </x:c>
      <x:c r="B11" s="12" t="str">
        <x:v>Workshop</x:v>
      </x:c>
      <x:c r="C11" s="12" t="str">
        <x:v>Conditional</x:v>
      </x:c>
      <x:c r="D11" s="12" t="str">
        <x:v>Peer review stated generally; reviewer count not verified</x:v>
      </x:c>
      <x:c r="E11" s="12" t="str">
        <x:v>CEUR Workshop Proceedings submission planned</x:v>
      </x:c>
      <x:c r="F11" s="14" t="n">
        <x:v>46274</x:v>
      </x:c>
      <x:c r="G11" s="14" t="n">
        <x:v>46290</x:v>
      </x:c>
      <x:c r="H11" s="12" t="str">
        <x:v>Must confirm</x:v>
      </x:c>
      <x:c r="I11" s="12" t="n">
        <x:v>5</x:v>
      </x:c>
      <x:c r="J11" s="12" t="n">
        <x:v>2.5</x:v>
      </x:c>
      <x:c r="K11" s="12" t="n">
        <x:v>3.5</x:v>
      </x:c>
      <x:c r="L11" s="12" t="n">
        <x:v>1</x:v>
      </x:c>
      <x:c r="M11" s="12" t="n">
        <x:f>ROUND(20*(0.25*O11+0.25*J11+0.25*I11+0.15*K11+0.10*L11),1)</x:f>
        <x:v>66.3</x:v>
      </x:c>
      <x:c r="N11" s="12" t="str">
        <x:v>CONDITIONAL FALLBACK—near-exact fit; verify publication process</x:v>
      </x:c>
      <x:c r="O11" s="12" t="n">
        <x:v>3.25</x:v>
      </x:c>
      <x:c r="P11" s="12" t="str">
        <x:v>https://easychair.org/cfp/IJCKG-26</x:v>
      </x:c>
      <x:c r="Q11" s="12" t="str">
        <x:v>https://ijckg2026.aiat.or.th/</x:v>
      </x:c>
      <x:c r="R11" s="12" t="str">
        <x:v>Near-exact GraphRAG/KG-LLM/evaluation fit. Workshop review details, publisher commitment and acceptance-letter wording require confirmation.</x:v>
      </x:c>
    </x:row>
    <x:row r="12">
      <x:c r="A12" s="12" t="str">
        <x:v>KICSS 2026</x:v>
      </x:c>
      <x:c r="B12" s="12" t="str">
        <x:v>Main conference</x:v>
      </x:c>
      <x:c r="C12" s="12" t="str">
        <x:v>Conditional</x:v>
      </x:c>
      <x:c r="D12" s="12" t="str">
        <x:v>Peer review; reviewer count not stated</x:v>
      </x:c>
      <x:c r="E12" s="12" t="str">
        <x:v>Conference proceedings; publisher not identified</x:v>
      </x:c>
      <x:c r="F12" s="14" t="n">
        <x:v>46251</x:v>
      </x:c>
      <x:c r="G12" s="14" t="n">
        <x:v>46296</x:v>
      </x:c>
      <x:c r="H12" s="12" t="str">
        <x:v>Must confirm</x:v>
      </x:c>
      <x:c r="I12" s="12" t="n">
        <x:v>5</x:v>
      </x:c>
      <x:c r="J12" s="12" t="n">
        <x:v>2.5</x:v>
      </x:c>
      <x:c r="K12" s="12" t="n">
        <x:v>3.5</x:v>
      </x:c>
      <x:c r="L12" s="12" t="n">
        <x:v>1</x:v>
      </x:c>
      <x:c r="M12" s="12" t="n">
        <x:f>ROUND(20*(0.25*O12+0.25*J12+0.25*I12+0.15*K12+0.10*L12),1)</x:f>
        <x:v>62.5</x:v>
      </x:c>
      <x:c r="N12" s="12" t="str">
        <x:v>CONDITIONAL—excellent scope, insufficient proceedings clarity</x:v>
      </x:c>
      <x:c r="O12" s="12" t="n">
        <x:v>2.5</x:v>
      </x:c>
      <x:c r="P12" s="12" t="str">
        <x:v>https://easychair.org/cfp/KICSS2026</x:v>
      </x:c>
      <x:c r="Q12" s="12" t="str"/>
      <x:c r="R12" s="12" t="str">
        <x:v>CFP explicitly names KG, trustworthy AI, AI governance, RAG, generative-AI evaluation and risk analysis. Publication publisher and archival status are unclear.</x:v>
      </x:c>
    </x:row>
    <x:row r="13">
      <x:c r="A13" s="12" t="str">
        <x:v>FMLDS 2026</x:v>
      </x:c>
      <x:c r="B13" s="12" t="str">
        <x:v>Main conference</x:v>
      </x:c>
      <x:c r="C13" s="12" t="str">
        <x:v>Conditional</x:v>
      </x:c>
      <x:c r="D13" s="12" t="str">
        <x:v>At least 2 independent reviewers</x:v>
      </x:c>
      <x:c r="E13" s="12" t="str">
        <x:v>Conference proceedings; possible IEEE Xplore submission</x:v>
      </x:c>
      <x:c r="F13" s="14" t="n">
        <x:v>46234</x:v>
      </x:c>
      <x:c r="G13" s="14" t="n">
        <x:v>46264</x:v>
      </x:c>
      <x:c r="H13" s="12" t="str">
        <x:v>Expected; confirm proceedings wording</x:v>
      </x:c>
      <x:c r="I13" s="12" t="n">
        <x:v>3.5</x:v>
      </x:c>
      <x:c r="J13" s="12" t="n">
        <x:v>3</x:v>
      </x:c>
      <x:c r="K13" s="12" t="n">
        <x:v>3.5</x:v>
      </x:c>
      <x:c r="L13" s="12" t="n">
        <x:v>4</x:v>
      </x:c>
      <x:c r="M13" s="12" t="n">
        <x:f>ROUND(20*(0.25*O13+0.25*J13+0.25*I13+0.15*K13+0.10*L13),1)</x:f>
        <x:v>76</x:v>
      </x:c>
      <x:c r="N13" s="12" t="str">
        <x:v>CONDITIONAL—AI-authoring policy may make submission unsafe</x:v>
      </x:c>
      <x:c r="O13" s="12" t="n">
        <x:v>5</x:v>
      </x:c>
      <x:c r="P13" s="12" t="str">
        <x:v>https://fmlds.org/2026/calls.php</x:v>
      </x:c>
      <x:c r="Q13" s="12" t="str">
        <x:v>https://fmlds.org/2026/submissions.php</x:v>
      </x:c>
      <x:c r="R13" s="12" t="str">
        <x:v>Good calendar but broad fit and only 4–6 pages. CFP prohibits paper/content prepared using AI software; obtain clarification and comply fully before submission.</x:v>
      </x:c>
    </x:row>
    <x:row r="14">
      <x:c r="A14" s="12" t="str">
        <x:v>ICISET 2026 (NUST Namibia)</x:v>
      </x:c>
      <x:c r="B14" s="12" t="str">
        <x:v>Main conference</x:v>
      </x:c>
      <x:c r="C14" s="12" t="str">
        <x:v>Conditional</x:v>
      </x:c>
      <x:c r="D14" s="12" t="str">
        <x:v>Peer review reported; exact reviewer count not verified</x:v>
      </x:c>
      <x:c r="E14" s="12" t="str">
        <x:v>Springer ACSAR route for selected papers; online proceedings fallback</x:v>
      </x:c>
      <x:c r="F14" s="14" t="n">
        <x:v>46230</x:v>
      </x:c>
      <x:c r="G14" s="14" t="n">
        <x:v>46280</x:v>
      </x:c>
      <x:c r="H14" s="12" t="str">
        <x:v>Must confirm publication category</x:v>
      </x:c>
      <x:c r="I14" s="12" t="n">
        <x:v>2.5</x:v>
      </x:c>
      <x:c r="J14" s="12" t="n">
        <x:v>2.5</x:v>
      </x:c>
      <x:c r="K14" s="12" t="n">
        <x:v>3.5</x:v>
      </x:c>
      <x:c r="L14" s="12" t="n">
        <x:v>2.5</x:v>
      </x:c>
      <x:c r="M14" s="12" t="n">
        <x:f>ROUND(20*(0.25*O14+0.25*J14+0.25*I14+0.15*K14+0.10*L14),1)</x:f>
        <x:v>58</x:v>
      </x:c>
      <x:c r="N14" s="12" t="str">
        <x:v>LOW-PRIORITY CONDITIONAL—deadline and publisher allocation risk</x:v>
      </x:c>
      <x:c r="O14" s="12" t="n">
        <x:v>3.5</x:v>
      </x:c>
      <x:c r="P14" s="12" t="str">
        <x:v>https://iciset.nust.na/</x:v>
      </x:c>
      <x:c r="Q14" s="12" t="str">
        <x:v>https://7easychair-www.easychair.org/cfp/ICISET2026</x:v>
      </x:c>
      <x:c r="R14" s="12" t="str">
        <x:v>Broad AI/security/governance scope. Publication path may differ by paper; committee should approve the exact proceedings route, not the conference name alone.</x:v>
      </x:c>
    </x:row>
    <x:row r="15">
      <x:c r="A15" s="12" t="str">
        <x:v>SovereignAI 2026</x:v>
      </x:c>
      <x:c r="B15" s="12" t="str">
        <x:v>Workshop</x:v>
      </x:c>
      <x:c r="C15" s="12" t="str">
        <x:v>Fail/Unverified</x:v>
      </x:c>
      <x:c r="D15" s="12" t="str">
        <x:v>Not verified</x:v>
      </x:c>
      <x:c r="E15" s="12" t="str">
        <x:v>No archival proceedings commitment found</x:v>
      </x:c>
      <x:c r="F15" s="14" t="n">
        <x:v>46241</x:v>
      </x:c>
      <x:c r="G15" s="14" t="str">
        <x:v>Unknown</x:v>
      </x:c>
      <x:c r="H15" s="12" t="str">
        <x:v>Not verified</x:v>
      </x:c>
      <x:c r="I15" s="12" t="n">
        <x:v>4</x:v>
      </x:c>
      <x:c r="J15" s="12" t="n">
        <x:v>1</x:v>
      </x:c>
      <x:c r="K15" s="12" t="n">
        <x:v>3</x:v>
      </x:c>
      <x:c r="L15" s="12" t="n">
        <x:v>1</x:v>
      </x:c>
      <x:c r="M15" s="12" t="n">
        <x:f>ROUND(20*(0.25*O15+0.25*J15+0.25*I15+0.15*K15+0.10*L15),1)</x:f>
        <x:v>41</x:v>
      </x:c>
      <x:c r="N15" s="12" t="str">
        <x:v>REJECT unless archival publication and decision process are documented</x:v>
      </x:c>
      <x:c r="O15" s="12" t="n">
        <x:v>1</x:v>
      </x:c>
      <x:c r="P15" s="12" t="str">
        <x:v>https://easychair.org/cfp/SovereignAI-2026</x:v>
      </x:c>
      <x:c r="Q15" s="12" t="str"/>
      <x:c r="R15" s="12" t="str">
        <x:v>Relevant themes include RAG, provenance, safety evaluation and oversight, but no reliable final-decision date or proceedings commitment was found.</x:v>
      </x:c>
    </x:row>
    <x:row r="16">
      <x:c r="A16" s="12" t="str">
        <x:v>ICIES 2026</x:v>
      </x:c>
      <x:c r="B16" s="12" t="str">
        <x:v>Main conference</x:v>
      </x:c>
      <x:c r="C16" s="12" t="str">
        <x:v>Conditional/Low evidence</x:v>
      </x:c>
      <x:c r="D16" s="12" t="str">
        <x:v>Not sufficiently documented on reviewed sources</x:v>
      </x:c>
      <x:c r="E16" s="12" t="str">
        <x:v>Proceedings publisher unclear</x:v>
      </x:c>
      <x:c r="F16" s="14" t="n">
        <x:v>46250</x:v>
      </x:c>
      <x:c r="G16" s="14" t="n">
        <x:v>46325</x:v>
      </x:c>
      <x:c r="H16" s="12" t="str">
        <x:v>Must confirm</x:v>
      </x:c>
      <x:c r="I16" s="12" t="n">
        <x:v>2.5</x:v>
      </x:c>
      <x:c r="J16" s="12" t="n">
        <x:v>1.5</x:v>
      </x:c>
      <x:c r="K16" s="12" t="n">
        <x:v>3.5</x:v>
      </x:c>
      <x:c r="L16" s="12" t="n">
        <x:v>0</x:v>
      </x:c>
      <x:c r="M16" s="12" t="n">
        <x:f>ROUND(20*(0.25*O16+0.25*J16+0.25*I16+0.15*K16+0.10*L16),1)</x:f>
        <x:v>38</x:v>
      </x:c>
      <x:c r="N16" s="12" t="str">
        <x:v>REJECT—late decision and unclear publication route</x:v>
      </x:c>
      <x:c r="O16" s="12" t="n">
        <x:v>1.5</x:v>
      </x:c>
      <x:c r="P16" s="12" t="str">
        <x:v>https://login.easychair.org/cfp/icies2026</x:v>
      </x:c>
      <x:c r="Q16" s="12" t="str"/>
      <x:c r="R16" s="12" t="str">
        <x:v>Broad enterprise AI fit, but not sufficiently close to the paper and the late October decision is unsafe for Fall 2026.</x:v>
      </x:c>
    </x:row>
    <x:row r="17">
      <x:c r="A17" s="12" t="str">
        <x:v>IEEE BigData 2026</x:v>
      </x:c>
      <x:c r="B17" s="12" t="str">
        <x:v>Main conference</x:v>
      </x:c>
      <x:c r="C17" s="12" t="str">
        <x:v>Pass pending committee</x:v>
      </x:c>
      <x:c r="D17" s="12" t="str">
        <x:v>Peer-reviewed full-paper track</x:v>
      </x:c>
      <x:c r="E17" s="12" t="str">
        <x:v>IEEE conference proceedings</x:v>
      </x:c>
      <x:c r="F17" s="14" t="n">
        <x:v>46255</x:v>
      </x:c>
      <x:c r="G17" s="14" t="n">
        <x:v>46319</x:v>
      </x:c>
      <x:c r="H17" s="12" t="str">
        <x:v>Expected</x:v>
      </x:c>
      <x:c r="I17" s="12" t="n">
        <x:v>4</x:v>
      </x:c>
      <x:c r="J17" s="12" t="n">
        <x:v>5</x:v>
      </x:c>
      <x:c r="K17" s="12" t="n">
        <x:v>1.5</x:v>
      </x:c>
      <x:c r="L17" s="12" t="n">
        <x:v>0</x:v>
      </x:c>
      <x:c r="M17" s="12" t="n">
        <x:f>ROUND(20*(0.25*O17+0.25*J17+0.25*I17+0.15*K17+0.10*L17),1)</x:f>
        <x:v>57</x:v>
      </x:c>
      <x:c r="N17" s="12" t="str">
        <x:v>REJECT FOR GRADUATION TIMING—credible but decision is too late</x:v>
      </x:c>
      <x:c r="O17" s="12" t="n">
        <x:v>1.5</x:v>
      </x:c>
      <x:c r="P17" s="12" t="str">
        <x:v>https://bigdataieee.org/BigData2026/calls/papers/</x:v>
      </x:c>
      <x:c r="Q17" s="12" t="str">
        <x:v>https://bigdataieee.org/BigData2026/important-dates/</x:v>
      </x:c>
      <x:c r="R17" s="12" t="str">
        <x:v>Strong fit for evaluation, benchmarking and responsible AI, but an October 24 rejection leaves almost no Fall recovery path.</x:v>
      </x:c>
    </x:row>
    <x:row r="18">
      <x:c r="A18" s="12" t="str">
        <x:v>IEEE ICA 2026</x:v>
      </x:c>
      <x:c r="B18" s="12" t="str">
        <x:v>Main conference</x:v>
      </x:c>
      <x:c r="C18" s="12" t="str">
        <x:v>Pass pending committee</x:v>
      </x:c>
      <x:c r="D18" s="12" t="str">
        <x:v>Peer-reviewed IEEE conference</x:v>
      </x:c>
      <x:c r="E18" s="12" t="str">
        <x:v>IEEE proceedings expected</x:v>
      </x:c>
      <x:c r="F18" s="14" t="n">
        <x:v>46280</x:v>
      </x:c>
      <x:c r="G18" s="14" t="n">
        <x:v>46310</x:v>
      </x:c>
      <x:c r="H18" s="12" t="str">
        <x:v>Expected</x:v>
      </x:c>
      <x:c r="I18" s="12" t="n">
        <x:v>1.5</x:v>
      </x:c>
      <x:c r="J18" s="12" t="n">
        <x:v>4.5</x:v>
      </x:c>
      <x:c r="K18" s="12" t="n">
        <x:v>2</x:v>
      </x:c>
      <x:c r="L18" s="12" t="n">
        <x:v>0</x:v>
      </x:c>
      <x:c r="M18" s="12" t="n">
        <x:f>ROUND(20*(0.25*O18+0.25*J18+0.25*I18+0.15*K18+0.10*L18),1)</x:f>
        <x:v>46</x:v>
      </x:c>
      <x:c r="N18" s="12" t="str">
        <x:v>REJECT—agentic/multi-agent scope mismatch and late decision</x:v>
      </x:c>
      <x:c r="O18" s="12" t="n">
        <x:v>2</x:v>
      </x:c>
      <x:c r="P18" s="12" t="str">
        <x:v>https://easychair.org/cfp/ica-2026</x:v>
      </x:c>
      <x:c r="Q18" s="12" t="str"/>
      <x:c r="R18" s="12" t="str">
        <x:v>The conference focuses on agentic AI and multi-agent systems. The paper profile explicitly says GovernRAG is not a multi-agent study.</x:v>
      </x:c>
    </x:row>
    <x:row r="19">
      <x:c r="A19" s="12" t="str">
        <x:v>TAIG 2026</x:v>
      </x:c>
      <x:c r="B19" s="12" t="str">
        <x:v>Workshop + edited volume</x:v>
      </x:c>
      <x:c r="C19" s="12" t="str">
        <x:v>Fail for Fall 2026</x:v>
      </x:c>
      <x:c r="D19" s="12" t="str">
        <x:v>Extended abstract and later full paper are peer reviewed</x:v>
      </x:c>
      <x:c r="E19" s="12" t="str">
        <x:v>Invitation to Springer LNCS edited volume after workshop</x:v>
      </x:c>
      <x:c r="F19" s="14" t="n">
        <x:v>46280</x:v>
      </x:c>
      <x:c r="G19" s="14" t="n">
        <x:v>46310</x:v>
      </x:c>
      <x:c r="H19" s="12" t="str">
        <x:v>Only abstract decision in Fall; full paper review occurs in 2027</x:v>
      </x:c>
      <x:c r="I19" s="12" t="n">
        <x:v>4</x:v>
      </x:c>
      <x:c r="J19" s="12" t="n">
        <x:v>3</x:v>
      </x:c>
      <x:c r="K19" s="12" t="n">
        <x:v>4</x:v>
      </x:c>
      <x:c r="L19" s="12" t="n">
        <x:v>0</x:v>
      </x:c>
      <x:c r="M19" s="12" t="n">
        <x:f>ROUND(20*(0.25*O19+0.25*J19+0.25*I19+0.15*K19+0.10*L19),1)</x:f>
        <x:v>49.5</x:v>
      </x:c>
      <x:c r="N19" s="12" t="str">
        <x:v>REJECT FOR FALL—full paper cannot be accepted before semester end</x:v>
      </x:c>
      <x:c r="O19" s="12" t="n">
        <x:v>0.5</x:v>
      </x:c>
      <x:c r="P19" s="12" t="str">
        <x:v>https://easychair.org/cfp/taig2026</x:v>
      </x:c>
      <x:c r="Q19" s="12" t="str">
        <x:v>https://www.ln.edu.hk/sds/news-and-events-v0/sds_news_and_event_2026_TAIG</x:v>
      </x:c>
      <x:c r="R19" s="12" t="str">
        <x:v>Excellent governance topic, but September submission is a 2-page abstract. Full papers are due December 31 and reviewed in January 2027.</x:v>
      </x:c>
    </x:row>
    <x:row r="20">
      <x:c r="A20" s="12" t="str">
        <x:v>RTCA @ NeurIPS 2026</x:v>
      </x:c>
      <x:c r="B20" s="12" t="str">
        <x:v>Workshop</x:v>
      </x:c>
      <x:c r="C20" s="12" t="str">
        <x:v>Fail</x:v>
      </x:c>
      <x:c r="D20" s="12" t="str">
        <x:v>Double-blind</x:v>
      </x:c>
      <x:c r="E20" s="12" t="str">
        <x:v>Explicitly non-archival</x:v>
      </x:c>
      <x:c r="F20" s="14" t="n">
        <x:v>46263</x:v>
      </x:c>
      <x:c r="G20" s="14" t="n">
        <x:v>46294</x:v>
      </x:c>
      <x:c r="H20" s="12" t="str">
        <x:v>No acceptance for publication</x:v>
      </x:c>
      <x:c r="I20" s="12" t="n">
        <x:v>0.5</x:v>
      </x:c>
      <x:c r="J20" s="12" t="n">
        <x:v>1</x:v>
      </x:c>
      <x:c r="K20" s="12" t="n">
        <x:v>4</x:v>
      </x:c>
      <x:c r="L20" s="12" t="n">
        <x:v>1</x:v>
      </x:c>
      <x:c r="M20" s="12" t="n">
        <x:f>ROUND(20*(0.25*O20+0.25*J20+0.25*I20+0.15*K20+0.10*L20),1)</x:f>
        <x:v>36.5</x:v>
      </x:c>
      <x:c r="N20" s="12" t="str">
        <x:v>REJECT—non-archival and real-time multimodal scope mismatch</x:v>
      </x:c>
      <x:c r="O20" s="12" t="n">
        <x:v>3</x:v>
      </x:c>
      <x:c r="P20" s="12" t="str">
        <x:v>https://rtcaneurips26.github.io/</x:v>
      </x:c>
      <x:c r="Q20" s="12" t="str">
        <x:v>https://www.reddit.com/r/MachineLearning/comments/1uy8e0v/cfp_rtca_neurips_2026_r/</x:v>
      </x:c>
      <x:c r="R20" s="12" t="str">
        <x:v>The CFP explicitly calls the workshop non-archival and focuses on real-time speech/video conversational agents, which the venue profile identifies as a mismatch.</x:v>
      </x:c>
    </x:row>
  </x:sheetData>
  <x:conditionalFormatting sqref="I2:O2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M2:M20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{96818A5A-1260-8517-DE30-CAD890C0302A}</x14:id>
        </x:ext>
      </x:extLst>
    </x:cfRule>
  </x:conditionalFormatting>
  <x:conditionalFormatting sqref="N2:N20">
    <x:cfRule type="expression" dxfId="0" priority="3">
      <x:formula>LEFT(N2,9)="SHORTLIST"</x:formula>
    </x:cfRule>
    <x:cfRule type="expression" dxfId="1" priority="4">
      <x:formula>LEFT(N2,6)="REJECT"</x:formula>
    </x:cfRule>
    <x:cfRule type="expression" dxfId="2" priority="5">
      <x:formula>LEFT(N2,11)="CONDITIONAL"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29268d8ea5407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6818A5A-1260-8517-DE30-CAD890C0302A}">
            <x14:dataBar gradient="1">
              <x14:cfvo type="min"/>
              <x14:cfvo type="max"/>
              <x14:fillColor rgb="FF2563EB"/>
            </x14:dataBar>
          </x14:cfRule>
          <xm:sqref>M2:M20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8" hidden="0" customWidth="1"/>
    <x:col min="5" max="5" width="30" hidden="0" customWidth="1"/>
    <x:col min="6" max="6" width="13" hidden="0" customWidth="1"/>
    <x:col min="7" max="7" width="13" hidden="0" customWidth="1"/>
    <x:col min="8" max="8" width="2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38" hidden="0" customWidth="1"/>
    <x:col min="15" max="15" width="13" hidden="0" customWidth="1"/>
    <x:col min="16" max="16" width="42" hidden="0" customWidth="1"/>
    <x:col min="17" max="17" width="42" hidden="0" customWidth="1"/>
    <x:col min="18" max="18" width="54" hidden="0" customWidth="1"/>
  </x:cols>
  <x:sheetData>
    <x:row r="1">
      <x:c r="A1" s="6" t="str">
        <x:v>Venue</x:v>
      </x:c>
      <x:c r="B1" s="6" t="str">
        <x:v>Type</x:v>
      </x:c>
      <x:c r="C1" s="6" t="str">
        <x:v>UALR gate</x:v>
      </x:c>
      <x:c r="D1" s="6" t="str">
        <x:v>Peer review</x:v>
      </x:c>
      <x:c r="E1" s="6" t="str">
        <x:v>Proceedings/journal</x:v>
      </x:c>
      <x:c r="F1" s="6" t="str">
        <x:v>Submission</x:v>
      </x:c>
      <x:c r="G1" s="6" t="str">
        <x:v>Final decision</x:v>
      </x:c>
      <x:c r="H1" s="6" t="str">
        <x:v>Acceptance notice</x:v>
      </x:c>
      <x:c r="I1" s="6" t="str">
        <x:v>Paper fit</x:v>
      </x:c>
      <x:c r="J1" s="6" t="str">
        <x:v>Reliability</x:v>
      </x:c>
      <x:c r="K1" s="6" t="str">
        <x:v>Acceptance risk</x:v>
      </x:c>
      <x:c r="L1" s="6" t="str">
        <x:v>Recovery value</x:v>
      </x:c>
      <x:c r="M1" s="6" t="str">
        <x:v>Weighted score</x:v>
      </x:c>
      <x:c r="N1" s="6" t="str">
        <x:v>Status</x:v>
      </x:c>
      <x:c r="O1" s="6" t="str">
        <x:v>Timing score</x:v>
      </x:c>
      <x:c r="P1" s="6" t="str">
        <x:v>Primary source</x:v>
      </x:c>
      <x:c r="Q1" s="6" t="str">
        <x:v>Secondary source</x:v>
      </x:c>
      <x:c r="R1" s="6" t="str">
        <x:v>Evidence / rejection rationale</x:v>
      </x:c>
    </x:row>
    <x:row r="2">
      <x:c r="A2" s="12" t="str">
        <x:v>IEEE/WIC WI-IAT 2026</x:v>
      </x:c>
      <x:c r="B2" s="12" t="str">
        <x:v>Main conference</x:v>
      </x:c>
      <x:c r="C2" s="12" t="str">
        <x:v>Would likely pass</x:v>
      </x:c>
      <x:c r="D2" s="12" t="str">
        <x:v>Peer-reviewed IEEE conference</x:v>
      </x:c>
      <x:c r="E2" s="12" t="str">
        <x:v>IEEE conference proceedings</x:v>
      </x:c>
      <x:c r="F2" s="14" t="n">
        <x:v>46218</x:v>
      </x:c>
      <x:c r="G2" s="14" t="n">
        <x:v>46265</x:v>
      </x:c>
      <x:c r="H2" s="12" t="str">
        <x:v>Expected</x:v>
      </x:c>
      <x:c r="I2" s="12" t="n">
        <x:v>4</x:v>
      </x:c>
      <x:c r="J2" s="12" t="n">
        <x:v>5</x:v>
      </x:c>
      <x:c r="K2" s="12" t="n">
        <x:v>2.5</x:v>
      </x:c>
      <x:c r="L2" s="12" t="n">
        <x:v>5</x:v>
      </x:c>
      <x:c r="M2" s="12" t="n">
        <x:f>ROUND(20*(0.25*O2+0.25*J2+0.25*I2+0.15*K2+0.10*L2),1)</x:f>
        <x:v>62.5</x:v>
      </x:c>
      <x:c r="N2" s="12" t="str">
        <x:v>CLOSED—deadline passed July 15</x:v>
      </x:c>
      <x:c r="O2" s="12" t="n">
        <x:v>0</x:v>
      </x:c>
      <x:c r="P2" s="12" t="str">
        <x:v>https://wi-iat.com/</x:v>
      </x:c>
      <x:c r="Q2" s="12" t="str">
        <x:v>https://wi-iat.com/wi-iat2026/Tracks-and-Topics.html</x:v>
      </x:c>
      <x:c r="R2" s="12" t="str">
        <x:v>Relevant FAccT/LLM, responsible AI, robustness, metrics and KG tracks, but the extended paper deadline passed.</x:v>
      </x:c>
    </x:row>
    <x:row r="3">
      <x:c r="A3" s="12" t="str">
        <x:v>RAGE-KG @ ISWC 2026</x:v>
      </x:c>
      <x:c r="B3" s="12" t="str">
        <x:v>Workshop</x:v>
      </x:c>
      <x:c r="C3" s="12" t="str">
        <x:v>Conditional</x:v>
      </x:c>
      <x:c r="D3" s="12" t="str">
        <x:v>Peer-reviewed workshop</x:v>
      </x:c>
      <x:c r="E3" s="12" t="str">
        <x:v>CEUR-style workshop proceedings expected</x:v>
      </x:c>
      <x:c r="F3" s="14" t="n">
        <x:v>46227</x:v>
      </x:c>
      <x:c r="G3" s="14" t="str">
        <x:v>August 2026</x:v>
      </x:c>
      <x:c r="H3" s="12" t="str">
        <x:v>Expected if accepted</x:v>
      </x:c>
      <x:c r="I3" s="12" t="n">
        <x:v>5</x:v>
      </x:c>
      <x:c r="J3" s="12" t="n">
        <x:v>4</x:v>
      </x:c>
      <x:c r="K3" s="12" t="n">
        <x:v>3</x:v>
      </x:c>
      <x:c r="L3" s="12" t="n">
        <x:v>4</x:v>
      </x:c>
      <x:c r="M3" s="12" t="n">
        <x:f>ROUND(20*(0.25*O3+0.25*J3+0.25*I3+0.15*K3+0.10*L3),1)</x:f>
        <x:v>62</x:v>
      </x:c>
      <x:c r="N3" s="12" t="str">
        <x:v>CLOSED TO NEW SUBMISSIONS—abstract registration passed July 17</x:v>
      </x:c>
      <x:c r="O3" s="12" t="n">
        <x:v>0</x:v>
      </x:c>
      <x:c r="P3" s="12" t="str">
        <x:v>https://easychair.org/cfp/RAGE-KG2026</x:v>
      </x:c>
      <x:c r="Q3" s="12" t="str"/>
      <x:c r="R3" s="12" t="str">
        <x:v>Near-exact RAG and KG fit, but the required abstract-registration deadline passed.</x:v>
      </x:c>
    </x:row>
    <x:row r="4">
      <x:c r="A4" s="12" t="str">
        <x:v>NLP4KGC @ ISWC 2026</x:v>
      </x:c>
      <x:c r="B4" s="12" t="str">
        <x:v>Workshop</x:v>
      </x:c>
      <x:c r="C4" s="12" t="str">
        <x:v>Conditional</x:v>
      </x:c>
      <x:c r="D4" s="12" t="str">
        <x:v>Peer-reviewed workshop</x:v>
      </x:c>
      <x:c r="E4" s="12" t="str">
        <x:v>Workshop proceedings</x:v>
      </x:c>
      <x:c r="F4" s="14" t="n">
        <x:v>46227</x:v>
      </x:c>
      <x:c r="G4" s="14" t="n">
        <x:v>46255</x:v>
      </x:c>
      <x:c r="H4" s="12" t="str">
        <x:v>Expected if accepted</x:v>
      </x:c>
      <x:c r="I4" s="12" t="n">
        <x:v>4.5</x:v>
      </x:c>
      <x:c r="J4" s="12" t="n">
        <x:v>4</x:v>
      </x:c>
      <x:c r="K4" s="12" t="n">
        <x:v>3</x:v>
      </x:c>
      <x:c r="L4" s="12" t="n">
        <x:v>4</x:v>
      </x:c>
      <x:c r="M4" s="12" t="n">
        <x:f>ROUND(20*(0.25*O4+0.25*J4+0.25*I4+0.15*K4+0.10*L4),1)</x:f>
        <x:v>59.5</x:v>
      </x:c>
      <x:c r="N4" s="12" t="str">
        <x:v>CLOSED TO NEW SUBMISSIONS—abstract registration passed July 17</x:v>
      </x:c>
      <x:c r="O4" s="12" t="n">
        <x:v>0</x:v>
      </x:c>
      <x:c r="P4" s="12" t="str">
        <x:v>https://easychair.org/cfp/NLP4KGC2026</x:v>
      </x:c>
      <x:c r="Q4" s="12" t="str"/>
      <x:c r="R4" s="12" t="str">
        <x:v>Strong NLP/LLM/KG fit, but new submissions are no longer feasible.</x:v>
      </x:c>
    </x:row>
    <x:row r="5">
      <x:c r="A5" s="12" t="str">
        <x:v>Sci-K 2026</x:v>
      </x:c>
      <x:c r="B5" s="12" t="str">
        <x:v>Workshop</x:v>
      </x:c>
      <x:c r="C5" s="12" t="str">
        <x:v>Conditional</x:v>
      </x:c>
      <x:c r="D5" s="12" t="str">
        <x:v>Peer-reviewed workshop</x:v>
      </x:c>
      <x:c r="E5" s="12" t="str">
        <x:v>CEUR proceedings</x:v>
      </x:c>
      <x:c r="F5" s="14" t="n">
        <x:v>46227</x:v>
      </x:c>
      <x:c r="G5" s="14" t="n">
        <x:v>46255</x:v>
      </x:c>
      <x:c r="H5" s="12" t="str">
        <x:v>Expected</x:v>
      </x:c>
      <x:c r="I5" s="12" t="n">
        <x:v>3</x:v>
      </x:c>
      <x:c r="J5" s="12" t="n">
        <x:v>4</x:v>
      </x:c>
      <x:c r="K5" s="12" t="n">
        <x:v>3</x:v>
      </x:c>
      <x:c r="L5" s="12" t="n">
        <x:v>4</x:v>
      </x:c>
      <x:c r="M5" s="12" t="n">
        <x:f>ROUND(20*(0.25*O5+0.25*J5+0.25*I5+0.15*K5+0.10*L5),1)</x:f>
        <x:v>54.5</x:v>
      </x:c>
      <x:c r="N5" s="12" t="str">
        <x:v>IMPRactical—deadline is immediate and scope centers scholarly knowledge</x:v>
      </x:c>
      <x:c r="O5" s="12" t="n">
        <x:v>0.5</x:v>
      </x:c>
      <x:c r="P5" s="12" t="str">
        <x:v>https://easychair.org/cfp/scik2026</x:v>
      </x:c>
      <x:c r="Q5" s="12" t="str"/>
      <x:c r="R5" s="12" t="str">
        <x:v>A potentially valid proceedings route, but the scope is scientific/scholarly knowledge graphs and the submission window is effectively closed.</x:v>
      </x:c>
    </x:row>
    <x:row r="6">
      <x:c r="A6" s="12" t="str">
        <x:v>KG-NeSy 2026</x:v>
      </x:c>
      <x:c r="B6" s="12" t="str">
        <x:v>Workshop</x:v>
      </x:c>
      <x:c r="C6" s="12" t="str">
        <x:v>Conditional</x:v>
      </x:c>
      <x:c r="D6" s="12" t="str">
        <x:v>Peer-reviewed workshop</x:v>
      </x:c>
      <x:c r="E6" s="12" t="str">
        <x:v>Workshop proceedings</x:v>
      </x:c>
      <x:c r="F6" s="14" t="n">
        <x:v>46227</x:v>
      </x:c>
      <x:c r="G6" s="14" t="str">
        <x:v>Unknown</x:v>
      </x:c>
      <x:c r="H6" s="12" t="str">
        <x:v>Expected if archival</x:v>
      </x:c>
      <x:c r="I6" s="12" t="n">
        <x:v>3.5</x:v>
      </x:c>
      <x:c r="J6" s="12" t="n">
        <x:v>3.5</x:v>
      </x:c>
      <x:c r="K6" s="12" t="n">
        <x:v>3</x:v>
      </x:c>
      <x:c r="L6" s="12" t="n">
        <x:v>3</x:v>
      </x:c>
      <x:c r="M6" s="12" t="n">
        <x:f>ROUND(20*(0.25*O6+0.25*J6+0.25*I6+0.15*K6+0.10*L6),1)</x:f>
        <x:v>52.5</x:v>
      </x:c>
      <x:c r="N6" s="12" t="str">
        <x:v>IMPRactical—near-deadline and contribution is not primarily neuro-symbolic learning</x:v>
      </x:c>
      <x:c r="O6" s="12" t="n">
        <x:v>0.5</x:v>
      </x:c>
      <x:c r="P6" s="12" t="str">
        <x:v>https://easychair.org/cfp/KG-NeSy2026</x:v>
      </x:c>
      <x:c r="Q6" s="12" t="str"/>
      <x:c r="R6" s="12" t="str">
        <x:v>Related through ontologies and reasoning, but the paper is a governance reference monitor rather than a neuro-symbolic model contribution.</x:v>
      </x:c>
    </x:row>
    <x:row r="7">
      <x:c r="A7" s="12" t="str">
        <x:v>X-TAIL 2026</x:v>
      </x:c>
      <x:c r="B7" s="12" t="str">
        <x:v>Workshop</x:v>
      </x:c>
      <x:c r="C7" s="12" t="str">
        <x:v>Conditional</x:v>
      </x:c>
      <x:c r="D7" s="12" t="str">
        <x:v>Peer-reviewed workshop</x:v>
      </x:c>
      <x:c r="E7" s="12" t="str">
        <x:v>Workshop proceedings</x:v>
      </x:c>
      <x:c r="F7" s="14" t="n">
        <x:v>46229</x:v>
      </x:c>
      <x:c r="G7" s="14" t="str">
        <x:v>Unknown</x:v>
      </x:c>
      <x:c r="H7" s="12" t="str">
        <x:v>Expected if archival</x:v>
      </x:c>
      <x:c r="I7" s="12" t="n">
        <x:v>2</x:v>
      </x:c>
      <x:c r="J7" s="12" t="n">
        <x:v>3.5</x:v>
      </x:c>
      <x:c r="K7" s="12" t="n">
        <x:v>3</x:v>
      </x:c>
      <x:c r="L7" s="12" t="n">
        <x:v>3</x:v>
      </x:c>
      <x:c r="M7" s="12" t="n">
        <x:f>ROUND(20*(0.25*O7+0.25*J7+0.25*I7+0.15*K7+0.10*L7),1)</x:f>
        <x:v>45</x:v>
      </x:c>
      <x:c r="N7" s="12" t="str">
        <x:v>REJECT—long-tail knowledge scope mismatch and immediate deadline</x:v>
      </x:c>
      <x:c r="O7" s="12" t="n">
        <x:v>0.5</x:v>
      </x:c>
      <x:c r="P7" s="12" t="str">
        <x:v>https://easychair.org/cfp/X-TAIL2026</x:v>
      </x:c>
      <x:c r="Q7" s="12" t="str"/>
      <x:c r="R7" s="12" t="str">
        <x:v>The paper is not specifically about long-tail knowledge, bias or rare-entity performance.</x:v>
      </x:c>
    </x:row>
    <x:row r="8">
      <x:c r="A8" s="12" t="str">
        <x:v>TRUST 2026 @ ASE</x:v>
      </x:c>
      <x:c r="B8" s="12" t="str">
        <x:v>Workshop</x:v>
      </x:c>
      <x:c r="C8" s="12" t="str">
        <x:v>Conditional</x:v>
      </x:c>
      <x:c r="D8" s="12" t="str">
        <x:v>Rigorous peer review stated</x:v>
      </x:c>
      <x:c r="E8" s="12" t="str">
        <x:v>Archival route not confirmed in reviewed source</x:v>
      </x:c>
      <x:c r="F8" s="14" t="n">
        <x:v>46226</x:v>
      </x:c>
      <x:c r="G8" s="14" t="n">
        <x:v>46257</x:v>
      </x:c>
      <x:c r="H8" s="12" t="str">
        <x:v>Must confirm</x:v>
      </x:c>
      <x:c r="I8" s="12" t="n">
        <x:v>3.5</x:v>
      </x:c>
      <x:c r="J8" s="12" t="n">
        <x:v>2.5</x:v>
      </x:c>
      <x:c r="K8" s="12" t="n">
        <x:v>3</x:v>
      </x:c>
      <x:c r="L8" s="12" t="n">
        <x:v>5</x:v>
      </x:c>
      <x:c r="M8" s="12" t="n">
        <x:f>ROUND(20*(0.25*O8+0.25*J8+0.25*I8+0.15*K8+0.10*L8),1)</x:f>
        <x:v>49</x:v>
      </x:c>
      <x:c r="N8" s="12" t="str">
        <x:v>CLOSED/IMMEDIATE—deadline is today and paper is not ready</x:v>
      </x:c>
      <x:c r="O8" s="12" t="n">
        <x:v>0</x:v>
      </x:c>
      <x:c r="P8" s="12" t="str">
        <x:v>https://easychair.org/cfp/TRUST2026</x:v>
      </x:c>
      <x:c r="Q8" s="12" t="str"/>
      <x:c r="R8" s="12" t="str">
        <x:v>Relevant to trustworthy and responsible autonomous systems, but the deadline is not realistically usable and publication status needs confirmation.</x:v>
      </x:c>
    </x:row>
    <x:row r="9">
      <x:c r="A9" s="12" t="str">
        <x:v>IEEE IRAI 2026</x:v>
      </x:c>
      <x:c r="B9" s="12" t="str">
        <x:v>Main conference</x:v>
      </x:c>
      <x:c r="C9" s="12" t="str">
        <x:v>Would likely pass</x:v>
      </x:c>
      <x:c r="D9" s="12" t="str">
        <x:v>Peer-reviewed IEEE conference</x:v>
      </x:c>
      <x:c r="E9" s="12" t="str">
        <x:v>IEEE proceedings</x:v>
      </x:c>
      <x:c r="F9" s="14" t="n">
        <x:v>46188</x:v>
      </x:c>
      <x:c r="G9" s="14" t="str">
        <x:v>Closed</x:v>
      </x:c>
      <x:c r="H9" s="12" t="str">
        <x:v>Expected</x:v>
      </x:c>
      <x:c r="I9" s="12" t="n">
        <x:v>5</x:v>
      </x:c>
      <x:c r="J9" s="12" t="n">
        <x:v>5</x:v>
      </x:c>
      <x:c r="K9" s="12" t="n">
        <x:v>2.5</x:v>
      </x:c>
      <x:c r="L9" s="12" t="n">
        <x:v>0</x:v>
      </x:c>
      <x:c r="M9" s="12" t="n">
        <x:f>ROUND(20*(0.25*O9+0.25*J9+0.25*I9+0.15*K9+0.10*L9),1)</x:f>
        <x:v>57.5</x:v>
      </x:c>
      <x:c r="N9" s="12" t="str">
        <x:v>CLOSED—submission deadline passed</x:v>
      </x:c>
      <x:c r="O9" s="12" t="n">
        <x:v>0</x:v>
      </x:c>
      <x:c r="P9" s="12" t="str">
        <x:v>https://irai2026.ieee-ies.org/</x:v>
      </x:c>
      <x:c r="Q9" s="12" t="str"/>
      <x:c r="R9" s="12" t="str">
        <x:v>Direct responsible-AI fit, but no longer available.</x:v>
      </x:c>
    </x:row>
    <x:row r="10">
      <x:c r="A10" s="12" t="str">
        <x:v>AIES 2026</x:v>
      </x:c>
      <x:c r="B10" s="12" t="str">
        <x:v>Main conference</x:v>
      </x:c>
      <x:c r="C10" s="12" t="str">
        <x:v>Would likely pass</x:v>
      </x:c>
      <x:c r="D10" s="12" t="str">
        <x:v>Peer-reviewed AAAI conference</x:v>
      </x:c>
      <x:c r="E10" s="12" t="str">
        <x:v>AAAI conference proceedings</x:v>
      </x:c>
      <x:c r="F10" s="14" t="n">
        <x:v>46163</x:v>
      </x:c>
      <x:c r="G10" s="14" t="n">
        <x:v>46219</x:v>
      </x:c>
      <x:c r="H10" s="12" t="str">
        <x:v>Expected</x:v>
      </x:c>
      <x:c r="I10" s="12" t="n">
        <x:v>3.5</x:v>
      </x:c>
      <x:c r="J10" s="12" t="n">
        <x:v>5</x:v>
      </x:c>
      <x:c r="K10" s="12" t="n">
        <x:v>1.5</x:v>
      </x:c>
      <x:c r="L10" s="12" t="n">
        <x:v>0</x:v>
      </x:c>
      <x:c r="M10" s="12" t="n">
        <x:f>ROUND(20*(0.25*O10+0.25*J10+0.25*I10+0.15*K10+0.10*L10),1)</x:f>
        <x:v>47</x:v>
      </x:c>
      <x:c r="N10" s="12" t="str">
        <x:v>CLOSED—submission deadline passed</x:v>
      </x:c>
      <x:c r="O10" s="12" t="n">
        <x:v>0</x:v>
      </x:c>
      <x:c r="P10" s="12" t="str">
        <x:v>https://www.aies-conference.com/2026/call-for-papers/</x:v>
      </x:c>
      <x:c r="Q10" s="12" t="str"/>
      <x:c r="R10" s="12" t="str">
        <x:v>Governance fit is good, but the contribution is more technical systems/evaluation than socio-technical ethics and the deadline passed.</x:v>
      </x:c>
    </x:row>
    <x:row r="11">
      <x:c r="A11" s="12" t="str">
        <x:v>TRUST-AI 2026</x:v>
      </x:c>
      <x:c r="B11" s="12" t="str">
        <x:v>Workshop</x:v>
      </x:c>
      <x:c r="C11" s="12" t="str">
        <x:v>Conditional</x:v>
      </x:c>
      <x:c r="D11" s="12" t="str">
        <x:v>Peer-reviewed workshop</x:v>
      </x:c>
      <x:c r="E11" s="12" t="str">
        <x:v>CEUR proceedings planned</x:v>
      </x:c>
      <x:c r="F11" s="14" t="n">
        <x:v>46159</x:v>
      </x:c>
      <x:c r="G11" s="14" t="str">
        <x:v>Closed</x:v>
      </x:c>
      <x:c r="H11" s="12" t="str">
        <x:v>Expected if accepted</x:v>
      </x:c>
      <x:c r="I11" s="12" t="n">
        <x:v>4.5</x:v>
      </x:c>
      <x:c r="J11" s="12" t="n">
        <x:v>4</x:v>
      </x:c>
      <x:c r="K11" s="12" t="n">
        <x:v>3</x:v>
      </x:c>
      <x:c r="L11" s="12" t="n">
        <x:v>0</x:v>
      </x:c>
      <x:c r="M11" s="12" t="n">
        <x:f>ROUND(20*(0.25*O11+0.25*J11+0.25*I11+0.15*K11+0.10*L11),1)</x:f>
        <x:v>51.5</x:v>
      </x:c>
      <x:c r="N11" s="12" t="str">
        <x:v>CLOSED—submission deadline passed</x:v>
      </x:c>
      <x:c r="O11" s="12" t="n">
        <x:v>0</x:v>
      </x:c>
      <x:c r="P11" s="12" t="str">
        <x:v>https://bdva.eu/events/trust-ai-2026/</x:v>
      </x:c>
      <x:c r="Q11" s="12" t="str"/>
      <x:c r="R11" s="12" t="str">
        <x:v>Strong trustworthy-AI fit but no longer available.</x:v>
      </x:c>
    </x:row>
    <x:row r="12">
      <x:c r="A12" s="12" t="str">
        <x:v>ISMIS 2026</x:v>
      </x:c>
      <x:c r="B12" s="12" t="str">
        <x:v>Main conference</x:v>
      </x:c>
      <x:c r="C12" s="12" t="str">
        <x:v>Would likely pass</x:v>
      </x:c>
      <x:c r="D12" s="12" t="str">
        <x:v>At least 3 PC reviewers</x:v>
      </x:c>
      <x:c r="E12" s="12" t="str">
        <x:v>Springer LNCS/LNAI</x:v>
      </x:c>
      <x:c r="F12" s="14" t="n">
        <x:v>46089</x:v>
      </x:c>
      <x:c r="G12" s="14" t="n">
        <x:v>46125</x:v>
      </x:c>
      <x:c r="H12" s="12" t="str">
        <x:v>Expected</x:v>
      </x:c>
      <x:c r="I12" s="12" t="n">
        <x:v>4.5</x:v>
      </x:c>
      <x:c r="J12" s="12" t="n">
        <x:v>5</x:v>
      </x:c>
      <x:c r="K12" s="12" t="n">
        <x:v>3</x:v>
      </x:c>
      <x:c r="L12" s="12" t="n">
        <x:v>0</x:v>
      </x:c>
      <x:c r="M12" s="12" t="n">
        <x:f>ROUND(20*(0.25*O12+0.25*J12+0.25*I12+0.15*K12+0.10*L12),1)</x:f>
        <x:v>56.5</x:v>
      </x:c>
      <x:c r="N12" s="12" t="str">
        <x:v>CLOSED—submission deadline passed</x:v>
      </x:c>
      <x:c r="O12" s="12" t="n">
        <x:v>0</x:v>
      </x:c>
      <x:c r="P12" s="12" t="str">
        <x:v>https://ismis2026.univ-lyon1.fr/</x:v>
      </x:c>
      <x:c r="Q12" s="12" t="str">
        <x:v>https://easychair.org/cfp/ISMIS-2026</x:v>
      </x:c>
      <x:c r="R12" s="12" t="str">
        <x:v>Excellent responsible/trustworthy AI, IR and knowledge-representation fit, but the conference has already occurred.</x:v>
      </x:c>
    </x:row>
    <x:row r="13">
      <x:c r="A13" s="12" t="str">
        <x:v>IEEE AITest 2026</x:v>
      </x:c>
      <x:c r="B13" s="12" t="str">
        <x:v>Main conference</x:v>
      </x:c>
      <x:c r="C13" s="12" t="str">
        <x:v>Would likely pass</x:v>
      </x:c>
      <x:c r="D13" s="12" t="str">
        <x:v>Peer-reviewed IEEE conference</x:v>
      </x:c>
      <x:c r="E13" s="12" t="str">
        <x:v>IEEE Computer Society proceedings</x:v>
      </x:c>
      <x:c r="F13" s="14" t="n">
        <x:v>46113</x:v>
      </x:c>
      <x:c r="G13" s="14" t="n">
        <x:v>46152</x:v>
      </x:c>
      <x:c r="H13" s="12" t="str">
        <x:v>Expected</x:v>
      </x:c>
      <x:c r="I13" s="12" t="n">
        <x:v>4</x:v>
      </x:c>
      <x:c r="J13" s="12" t="n">
        <x:v>5</x:v>
      </x:c>
      <x:c r="K13" s="12" t="n">
        <x:v>2.5</x:v>
      </x:c>
      <x:c r="L13" s="12" t="n">
        <x:v>0</x:v>
      </x:c>
      <x:c r="M13" s="12" t="n">
        <x:f>ROUND(20*(0.25*O13+0.25*J13+0.25*I13+0.15*K13+0.10*L13),1)</x:f>
        <x:v>52.5</x:v>
      </x:c>
      <x:c r="N13" s="12" t="str">
        <x:v>CLOSED—submission deadline passed</x:v>
      </x:c>
      <x:c r="O13" s="12" t="n">
        <x:v>0</x:v>
      </x:c>
      <x:c r="P13" s="12" t="str">
        <x:v>https://ieeeaitest.com/</x:v>
      </x:c>
      <x:c r="Q13" s="12" t="str"/>
      <x:c r="R13" s="12" t="str">
        <x:v>Strong evaluation, assurance and governance fit, but closed.</x:v>
      </x:c>
    </x:row>
    <x:row r="14">
      <x:c r="A14" s="12" t="str">
        <x:v>NeurIPS 2026 Evaluations &amp; Datasets</x:v>
      </x:c>
      <x:c r="B14" s="12" t="str">
        <x:v>Main conference track</x:v>
      </x:c>
      <x:c r="C14" s="12" t="str">
        <x:v>Would pass</x:v>
      </x:c>
      <x:c r="D14" s="12" t="str">
        <x:v>Full NeurIPS review</x:v>
      </x:c>
      <x:c r="E14" s="12" t="str">
        <x:v>NeurIPS proceedings</x:v>
      </x:c>
      <x:c r="F14" s="14" t="n">
        <x:v>46148</x:v>
      </x:c>
      <x:c r="G14" s="14" t="n">
        <x:v>46289</x:v>
      </x:c>
      <x:c r="H14" s="12" t="str">
        <x:v>Expected</x:v>
      </x:c>
      <x:c r="I14" s="12" t="n">
        <x:v>4</x:v>
      </x:c>
      <x:c r="J14" s="12" t="n">
        <x:v>5</x:v>
      </x:c>
      <x:c r="K14" s="12" t="n">
        <x:v>1</x:v>
      </x:c>
      <x:c r="L14" s="12" t="n">
        <x:v>0</x:v>
      </x:c>
      <x:c r="M14" s="12" t="n">
        <x:f>ROUND(20*(0.25*O14+0.25*J14+0.25*I14+0.15*K14+0.10*L14),1)</x:f>
        <x:v>48</x:v>
      </x:c>
      <x:c r="N14" s="12" t="str">
        <x:v>CLOSED—submission deadline passed</x:v>
      </x:c>
      <x:c r="O14" s="12" t="n">
        <x:v>0</x:v>
      </x:c>
      <x:c r="P14" s="12" t="str">
        <x:v>https://neurips.cc/Conferences/2026/CallForEvaluationsDatasets</x:v>
      </x:c>
      <x:c r="Q14" s="12" t="str"/>
      <x:c r="R14" s="12" t="str">
        <x:v>Methodologically relevant but highly selective and closed.</x:v>
      </x:c>
    </x:row>
    <x:row r="15">
      <x:c r="A15" s="12" t="str">
        <x:v>NeurIPS 2026 workshop family</x:v>
      </x:c>
      <x:c r="B15" s="12" t="str">
        <x:v>Workshops</x:v>
      </x:c>
      <x:c r="C15" s="12" t="str">
        <x:v>Usually fail UALR</x:v>
      </x:c>
      <x:c r="D15" s="12" t="str">
        <x:v>Workshop-specific peer review</x:v>
      </x:c>
      <x:c r="E15" s="12" t="str">
        <x:v>Generally non-archival unless explicitly stated otherwise</x:v>
      </x:c>
      <x:c r="F15" s="14" t="n">
        <x:v>46263</x:v>
      </x:c>
      <x:c r="G15" s="14" t="n">
        <x:v>46294</x:v>
      </x:c>
      <x:c r="H15" s="12" t="str">
        <x:v>Usually no archival acceptance</x:v>
      </x:c>
      <x:c r="I15" s="12" t="n">
        <x:v>2.5</x:v>
      </x:c>
      <x:c r="J15" s="12" t="n">
        <x:v>1</x:v>
      </x:c>
      <x:c r="K15" s="12" t="n">
        <x:v>3</x:v>
      </x:c>
      <x:c r="L15" s="12" t="n">
        <x:v>1</x:v>
      </x:c>
      <x:c r="M15" s="12" t="n">
        <x:f>ROUND(20*(0.25*O15+0.25*J15+0.25*I15+0.15*K15+0.10*L15),1)</x:f>
        <x:v>43.5</x:v>
      </x:c>
      <x:c r="N15" s="12" t="str">
        <x:v>REJECT AS A CLASS unless a specific workshop confirms archival proceedings</x:v>
      </x:c>
      <x:c r="O15" s="12" t="n">
        <x:v>3</x:v>
      </x:c>
      <x:c r="P15" s="12" t="str">
        <x:v>https://neurips.cc/Conferences/2026/CallForWorkshops</x:v>
      </x:c>
      <x:c r="Q15" s="12" t="str">
        <x:v>https://neurips.cc/Conferences/2026/MainTrackHandbook</x:v>
      </x:c>
      <x:c r="R15" s="12" t="str">
        <x:v>OpenReview surfaced IAEval, FLMSec, Verify-Agents and other potentially related workshops. NeurIPS treats workshop submissions as non-archival unless the individual workshop explicitly provides an archival route.</x:v>
      </x:c>
    </x:row>
  </x:sheetData>
  <x:conditionalFormatting sqref="I2:O15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N2:N15">
    <x:cfRule type="expression" dxfId="3" priority="2">
      <x:formula>LEFT(N2,6)="CLOSED"</x:formula>
    </x:cfRule>
    <x:cfRule type="expression" dxfId="4" priority="3">
      <x:formula>LEFT(N2,6)="REJECT"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858eb3721740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5" t="str">
        <x:v>Venue Evaluation Method</x:v>
      </x:c>
      <x:c r="B1" s="5" t="str"/>
    </x:row>
    <x:row r="2">
      <x:c r="A2" s="12" t="str">
        <x:v>Search cutoff</x:v>
      </x:c>
      <x:c r="B2" s="12" t="str">
        <x:v>2026-07-23</x:v>
      </x:c>
    </x:row>
    <x:row r="3">
      <x:c r="A3" s="12" t="str">
        <x:v>Search scope</x:v>
      </x:c>
      <x:c r="B3" s="12" t="str">
        <x:v>Open or recently closed 2026 conferences/workshops relevant to GovernRAG, using official sites, EasyChair, WikiCFP, IEEE listings, OpenReview, ACL/EMNLP pages, conference listserv/index sites, and publisher/proceedings records.</x:v>
      </x:c>
    </x:row>
    <x:row r="4">
      <x:c r="A4" s="12" t="str">
        <x:v>Important limitation</x:v>
      </x:c>
      <x:c r="B4" s="12" t="str">
        <x:v>No internet scan can prove mathematical completeness. The workbook is a documented best-effort global longlist as of the cutoff date; CFP dates and publication commitments can change.</x:v>
      </x:c>
    </x:row>
    <x:row r="5">
      <x:c r="A5" s="12" t="str"/>
      <x:c r="B5" s="12" t="str"/>
    </x:row>
    <x:row r="6">
      <x:c r="A6" s="12" t="str">
        <x:v>Mandatory UALR gates</x:v>
      </x:c>
      <x:c r="B6" s="12" t="str">
        <x:v>Research paper; legitimate peer review; journal or conference/workshop proceedings publication; formal acceptance for publication; first/second authorship; dissertation relevance; committee approval; acceptance before the internal graduation cutoff.</x:v>
      </x:c>
    </x:row>
    <x:row r="7">
      <x:c r="A7" s="12" t="str">
        <x:v>Workshop interpretation</x:v>
      </x:c>
      <x:c r="B7" s="12" t="str">
        <x:v>UALR does not explicitly exclude workshops. A workshop remains conditional until the committee approves the exact archival proceedings route.</x:v>
      </x:c>
    </x:row>
    <x:row r="8">
      <x:c r="A8" s="12" t="str"/>
      <x:c r="B8" s="12" t="str"/>
    </x:row>
    <x:row r="9">
      <x:c r="A9" s="22" t="str">
        <x:v>Weighted dimension</x:v>
      </x:c>
      <x:c r="B9" s="22" t="str">
        <x:v>Weight</x:v>
      </x:c>
    </x:row>
    <x:row r="10">
      <x:c r="A10" s="12" t="str">
        <x:v>Timing score</x:v>
      </x:c>
      <x:c r="B10" s="24" t="n">
        <x:v>0.25</x:v>
      </x:c>
    </x:row>
    <x:row r="11">
      <x:c r="A11" s="12" t="str">
        <x:v>Reliability</x:v>
      </x:c>
      <x:c r="B11" s="24" t="n">
        <x:v>0.25</x:v>
      </x:c>
    </x:row>
    <x:row r="12">
      <x:c r="A12" s="12" t="str">
        <x:v>Paper fit</x:v>
      </x:c>
      <x:c r="B12" s="24" t="n">
        <x:v>0.25</x:v>
      </x:c>
    </x:row>
    <x:row r="13">
      <x:c r="A13" s="12" t="str">
        <x:v>Acceptance risk</x:v>
      </x:c>
      <x:c r="B13" s="24" t="n">
        <x:v>0.15</x:v>
      </x:c>
    </x:row>
    <x:row r="14">
      <x:c r="A14" s="12" t="str">
        <x:v>Recovery value</x:v>
      </x:c>
      <x:c r="B14" s="24" t="n">
        <x:v>0.1</x:v>
      </x:c>
    </x:row>
    <x:row r="15">
      <x:c r="A15" s="12" t="str"/>
      <x:c r="B15" s="12" t="str"/>
    </x:row>
    <x:row r="16">
      <x:c r="A16" s="12" t="str">
        <x:v>Formula</x:v>
      </x:c>
      <x:c r="B16" s="12" t="str">
        <x:v>Weighted score = 20 × (0.25×Timing + 0.25×Reliability + 0.25×Paper fit + 0.15×Acceptance risk + 0.10×Recovery value)</x:v>
      </x:c>
    </x:row>
    <x:row r="17">
      <x:c r="A17" s="12" t="str">
        <x:v>Scale</x:v>
      </x:c>
      <x:c r="B17" s="12" t="str">
        <x:v>0–5 for each dimension. For Acceptance risk, 5 means relatively lower risk; 1 means very high risk. Scores are comparative judgments, not acceptance probabilities.</x:v>
      </x:c>
    </x:row>
    <x:row r="18">
      <x:c r="A18" s="12" t="str">
        <x:v>Cost / travel</x:v>
      </x:c>
      <x:c r="B18" s="12" t="str">
        <x:v>Excluded from scoring at the user's request.</x:v>
      </x:c>
    </x:row>
    <x:row r="19">
      <x:c r="A19" s="12" t="str">
        <x:v>Committee approval</x:v>
      </x:c>
      <x:c r="B19" s="12" t="str">
        <x:v>A high weighted score never overrides a failed or unconfirmed UALR gate.</x:v>
      </x:c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72" hidden="0" customWidth="1"/>
  </x:cols>
  <x:sheetData>
    <x:row r="1">
      <x:c r="A1" s="6" t="str">
        <x:v>Source category</x:v>
      </x:c>
      <x:c r="B1" s="6" t="str">
        <x:v>Source</x:v>
      </x:c>
      <x:c r="C1" s="6" t="str">
        <x:v>Use in the scan</x:v>
      </x:c>
    </x:row>
    <x:row r="2">
      <x:c r="A2" s="12" t="str">
        <x:v>University requirement</x:v>
      </x:c>
      <x:c r="B2" s="12" t="str">
        <x:v>https://catalog.ualr.edu/preview_program.php?catoid=21&amp;poid=5481&amp;returnto=2486</x:v>
      </x:c>
      <x:c r="C2" s="12" t="str">
        <x:v>Catalog page supplied by the user; direct automated access was blocked by JavaScript/anti-bot. The quoted publication requirement was treated as authoritative.</x:v>
      </x:c>
    </x:row>
    <x:row r="3">
      <x:c r="A3" s="12" t="str">
        <x:v>University program page</x:v>
      </x:c>
      <x:c r="B3" s="12" t="str">
        <x:v>https://ualr.edu/cis/admission-requirements/</x:v>
      </x:c>
      <x:c r="C3" s="12" t="str">
        <x:v>Confirmed that the CIS Ph.D. program has a publication requirement and refers students to the catalog.</x:v>
      </x:c>
    </x:row>
    <x:row r="4">
      <x:c r="A4" s="12" t="str">
        <x:v>CFP discovery</x:v>
      </x:c>
      <x:c r="B4" s="12" t="str">
        <x:v>https://easychair.org/cfp</x:v>
      </x:c>
      <x:c r="C4" s="12" t="str">
        <x:v>Broad current CFP discovery by topic, date and country.</x:v>
      </x:c>
    </x:row>
    <x:row r="5">
      <x:c r="A5" s="12" t="str">
        <x:v>CFP discovery</x:v>
      </x:c>
      <x:c r="B5" s="12" t="str">
        <x:v>https://www.wikicfp.com/</x:v>
      </x:c>
      <x:c r="C5" s="12" t="str">
        <x:v>Secondary discovery and date cross-checking.</x:v>
      </x:c>
    </x:row>
    <x:row r="6">
      <x:c r="A6" s="12" t="str">
        <x:v>Security CFP calendar</x:v>
      </x:c>
      <x:c r="B6" s="12" t="str">
        <x:v>https://www.ieee-security.org/CFP/upcoming-conferences.html</x:v>
      </x:c>
      <x:c r="C6" s="12" t="str">
        <x:v>Security, trust, privacy and dependable-systems conferences.</x:v>
      </x:c>
    </x:row>
    <x:row r="7">
      <x:c r="A7" s="12" t="str">
        <x:v>IEEE AI event listing</x:v>
      </x:c>
      <x:c r="B7" s="12" t="str">
        <x:v>https://ai.ieee.org/events/</x:v>
      </x:c>
      <x:c r="C7" s="12" t="str">
        <x:v>IEEE AI and responsible-AI event discovery.</x:v>
      </x:c>
    </x:row>
    <x:row r="8">
      <x:c r="A8" s="12" t="str">
        <x:v>OpenReview venues</x:v>
      </x:c>
      <x:c r="B8" s="12" t="str">
        <x:v>https://openreview.net/</x:v>
      </x:c>
      <x:c r="C8" s="12" t="str">
        <x:v>NeurIPS/ICML/ICLR and workshop discovery; review-status and deadline checks.</x:v>
      </x:c>
    </x:row>
    <x:row r="9">
      <x:c r="A9" s="12" t="str">
        <x:v>NeurIPS workshop policy</x:v>
      </x:c>
      <x:c r="B9" s="12" t="str">
        <x:v>https://neurips.cc/Conferences/2026/CallForWorkshops</x:v>
      </x:c>
      <x:c r="C9" s="12" t="str">
        <x:v>Workshop contribution dates and archival-risk assessment.</x:v>
      </x:c>
    </x:row>
    <x:row r="10">
      <x:c r="A10" s="12" t="str">
        <x:v>ACL events</x:v>
      </x:c>
      <x:c r="B10" s="12" t="str">
        <x:v>https://www.aclweb.org/portal/events</x:v>
      </x:c>
      <x:c r="C10" s="12" t="str">
        <x:v>NLP/LLM/KG workshop discovery.</x:v>
      </x:c>
    </x:row>
    <x:row r="11">
      <x:c r="A11" s="12" t="str">
        <x:v>Publisher verification</x:v>
      </x:c>
      <x:c r="B11" s="12" t="str">
        <x:v>https://proceedings.mlr.press/</x:v>
      </x:c>
      <x:c r="C11" s="12" t="str">
        <x:v>PMLR proceedings confirmation.</x:v>
      </x:c>
    </x:row>
    <x:row r="12">
      <x:c r="A12" s="12" t="str">
        <x:v>Publisher verification</x:v>
      </x:c>
      <x:c r="B12" s="12" t="str">
        <x:v>https://ceur-ws.org/</x:v>
      </x:c>
      <x:c r="C12" s="12" t="str">
        <x:v>CEUR workshop-proceedings history checks.</x:v>
      </x:c>
    </x:row>
    <x:row r="13">
      <x:c r="A13" s="12" t="str">
        <x:v>Publisher verification</x:v>
      </x:c>
      <x:c r="B13" s="12" t="str">
        <x:v>https://link.springer.com/</x:v>
      </x:c>
      <x:c r="C13" s="12" t="str">
        <x:v>Springer LNCS/CCIS prior-volume and publisher checks.</x:v>
      </x:c>
    </x:row>
    <x:row r="14">
      <x:c r="A14" s="12" t="str">
        <x:v>Conference listing</x:v>
      </x:c>
      <x:c r="B14" s="12" t="str">
        <x:v>https://researchr.org/conference</x:v>
      </x:c>
      <x:c r="C14" s="12" t="str">
        <x:v>Secondary conference discovery.</x:v>
      </x:c>
    </x:row>
    <x:row r="15">
      <x:c r="A15" s="12" t="str">
        <x:v>Conference listing</x:v>
      </x:c>
      <x:c r="B15" s="12" t="str">
        <x:v>https://callforpaper.org/</x:v>
      </x:c>
      <x:c r="C15" s="12" t="str">
        <x:v>Secondary date and publication cross-checking.</x:v>
      </x:c>
    </x:row>
    <x:row r="16">
      <x:c r="A16" s="12" t="str">
        <x:v>Listserv discovery</x:v>
      </x:c>
      <x:c r="B16" s="12" t="str">
        <x:v>https://listserv.acm.org/</x:v>
      </x:c>
      <x:c r="C16" s="12" t="str">
        <x:v>DBWorld/ACM listserv searches; search-engine coverage was limited.</x:v>
      </x:c>
    </x:row>
    <x:row r="17">
      <x:c r="A17" s="12" t="str">
        <x:v>Paper profile</x:v>
      </x:c>
      <x:c r="B17" s="12" t="str">
        <x:v>Uploaded GovernRAG Paper 2 — Venue-Matching Profile</x:v>
      </x:c>
      <x:c r="C17" s="12" t="str">
        <x:v>Fit criteria, format, contribution, negative-match criteria and readiness assumptions.</x:v>
      </x:c>
    </x:row>
  </x:sheetData>
  <x:pageMargins left="0.7" right="0.7" top="0.75" bottom="0.75" header="0.3" footer="0.3"/>
  <x:tableParts count="1">
    <x:tablePart xmlns:r="http://schemas.openxmlformats.org/officeDocument/2006/relationships" r:id="R2ad6e535760248f1"/>
  </x:tableParts>
</x:worksheet>
</file>