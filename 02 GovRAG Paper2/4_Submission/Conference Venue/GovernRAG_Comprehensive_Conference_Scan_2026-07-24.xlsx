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3.xml" ContentType="application/vnd.openxmlformats-officedocument.drawing+xml"/>
  <Override PartName="/xl/tables/table11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nav\repos\conceptual_GraphRAG\02 GovRAG Paper2\4_Submission\Conference Venue\"/>
    </mc:Choice>
  </mc:AlternateContent>
  <xr:revisionPtr revIDLastSave="0" documentId="13_ncr:1_{7552E7DD-3FCF-4483-8E20-734F2EF937BC}" xr6:coauthVersionLast="47" xr6:coauthVersionMax="47" xr10:uidLastSave="{00000000-0000-0000-0000-000000000000}"/>
  <bookViews>
    <workbookView xWindow="-28920" yWindow="3510" windowWidth="29040" windowHeight="15720" firstSheet="9" activeTab="9" xr2:uid="{00000000-000D-0000-FFFF-FFFF00000000}"/>
  </bookViews>
  <sheets>
    <sheet name="Candidate Comparison" sheetId="1" r:id="rId1"/>
    <sheet name="Closed-Rejected" sheetId="2" r:id="rId2"/>
    <sheet name="Scoring Method" sheetId="3" r:id="rId3"/>
    <sheet name="Search Sources" sheetId="4" r:id="rId4"/>
    <sheet name="All Options + Extension Watch" sheetId="5" r:id="rId5"/>
    <sheet name="37 Venue Acceptance Rates" sheetId="6" r:id="rId6"/>
    <sheet name="Reassessed 27 Venues" sheetId="7" r:id="rId7"/>
    <sheet name="AI Governance Reassessment" sheetId="8" r:id="rId8"/>
    <sheet name="Verified Open" sheetId="9" r:id="rId9"/>
    <sheet name="Seed Audit 27" sheetId="10" r:id="rId10"/>
    <sheet name="Conditional Recovery" sheetId="11" r:id="rId11"/>
    <sheet name="Top 5 Recommendations" sheetId="12" r:id="rId12"/>
    <sheet name="Method &amp; Legend" sheetId="13" r:id="rId13"/>
    <sheet name="Deadline Dashboar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9" l="1"/>
  <c r="A21" i="9" s="1"/>
  <c r="L20" i="9"/>
  <c r="A20" i="9" s="1"/>
  <c r="L19" i="9"/>
  <c r="A19" i="9" s="1"/>
  <c r="L18" i="9"/>
  <c r="A18" i="9" s="1"/>
  <c r="L17" i="9"/>
  <c r="A17" i="9" s="1"/>
  <c r="L16" i="9"/>
  <c r="A16" i="9" s="1"/>
  <c r="L15" i="9"/>
  <c r="A15" i="9" s="1"/>
  <c r="L14" i="9"/>
  <c r="A14" i="9" s="1"/>
  <c r="L13" i="9"/>
  <c r="A13" i="9" s="1"/>
  <c r="L12" i="9"/>
  <c r="A12" i="9" s="1"/>
  <c r="L11" i="9"/>
  <c r="A11" i="9" s="1"/>
  <c r="L10" i="9"/>
  <c r="A10" i="9" s="1"/>
  <c r="L9" i="9"/>
  <c r="A9" i="9" s="1"/>
  <c r="L8" i="9"/>
  <c r="A8" i="9" s="1"/>
  <c r="L7" i="9"/>
  <c r="A7" i="9" s="1"/>
  <c r="L6" i="9"/>
  <c r="A6" i="9" s="1"/>
  <c r="L5" i="9"/>
  <c r="A5" i="9" s="1"/>
  <c r="S28" i="8"/>
  <c r="R28" i="8"/>
  <c r="S27" i="8"/>
  <c r="R27" i="8"/>
  <c r="S26" i="8"/>
  <c r="R26" i="8"/>
  <c r="S25" i="8"/>
  <c r="R25" i="8"/>
  <c r="S24" i="8"/>
  <c r="R24" i="8"/>
  <c r="S23" i="8"/>
  <c r="R23" i="8"/>
  <c r="S22" i="8"/>
  <c r="R22" i="8"/>
  <c r="S21" i="8"/>
  <c r="R21" i="8"/>
  <c r="S20" i="8"/>
  <c r="R20" i="8"/>
  <c r="S19" i="8"/>
  <c r="R19" i="8"/>
  <c r="S18" i="8"/>
  <c r="R18" i="8"/>
  <c r="R17" i="8"/>
  <c r="S16" i="8"/>
  <c r="R16" i="8"/>
  <c r="R15" i="8"/>
  <c r="S14" i="8"/>
  <c r="R14" i="8"/>
  <c r="S13" i="8"/>
  <c r="R13" i="8"/>
  <c r="S12" i="8"/>
  <c r="R12" i="8"/>
  <c r="S11" i="8"/>
  <c r="R11" i="8"/>
  <c r="S10" i="8"/>
  <c r="R10" i="8"/>
  <c r="S9" i="8"/>
  <c r="R9" i="8"/>
  <c r="S8" i="8"/>
  <c r="R8" i="8"/>
  <c r="S7" i="8"/>
  <c r="R7" i="8"/>
  <c r="S6" i="8"/>
  <c r="R6" i="8"/>
  <c r="S5" i="8"/>
  <c r="R5" i="8"/>
  <c r="S4" i="8"/>
  <c r="R4" i="8"/>
  <c r="S3" i="8"/>
  <c r="R3" i="8"/>
  <c r="S2" i="8"/>
  <c r="R2" i="8"/>
  <c r="S17" i="8" s="1"/>
  <c r="P28" i="7"/>
  <c r="Q28" i="7" s="1"/>
  <c r="K28" i="7"/>
  <c r="I28" i="7"/>
  <c r="J28" i="7" s="1"/>
  <c r="P27" i="7"/>
  <c r="Q27" i="7" s="1"/>
  <c r="K27" i="7"/>
  <c r="I27" i="7"/>
  <c r="J27" i="7" s="1"/>
  <c r="P26" i="7"/>
  <c r="Q26" i="7" s="1"/>
  <c r="K26" i="7"/>
  <c r="I26" i="7"/>
  <c r="J26" i="7" s="1"/>
  <c r="P25" i="7"/>
  <c r="Q25" i="7" s="1"/>
  <c r="K25" i="7"/>
  <c r="I25" i="7"/>
  <c r="J25" i="7" s="1"/>
  <c r="P24" i="7"/>
  <c r="Q24" i="7" s="1"/>
  <c r="K24" i="7"/>
  <c r="I24" i="7"/>
  <c r="J24" i="7" s="1"/>
  <c r="P23" i="7"/>
  <c r="Q23" i="7" s="1"/>
  <c r="K23" i="7"/>
  <c r="I23" i="7"/>
  <c r="J23" i="7" s="1"/>
  <c r="P22" i="7"/>
  <c r="Q22" i="7" s="1"/>
  <c r="K22" i="7"/>
  <c r="I22" i="7"/>
  <c r="J22" i="7" s="1"/>
  <c r="P21" i="7"/>
  <c r="Q21" i="7" s="1"/>
  <c r="K21" i="7"/>
  <c r="I21" i="7"/>
  <c r="J21" i="7" s="1"/>
  <c r="P20" i="7"/>
  <c r="Q20" i="7" s="1"/>
  <c r="K20" i="7"/>
  <c r="I20" i="7"/>
  <c r="J20" i="7" s="1"/>
  <c r="P19" i="7"/>
  <c r="Q19" i="7" s="1"/>
  <c r="K19" i="7"/>
  <c r="I19" i="7"/>
  <c r="J19" i="7" s="1"/>
  <c r="P18" i="7"/>
  <c r="Q18" i="7" s="1"/>
  <c r="K18" i="7"/>
  <c r="I18" i="7"/>
  <c r="J18" i="7" s="1"/>
  <c r="K17" i="7"/>
  <c r="I17" i="7"/>
  <c r="J17" i="7" s="1"/>
  <c r="P17" i="7" s="1"/>
  <c r="K16" i="7"/>
  <c r="I16" i="7"/>
  <c r="J16" i="7" s="1"/>
  <c r="P16" i="7" s="1"/>
  <c r="K15" i="7"/>
  <c r="I15" i="7"/>
  <c r="J15" i="7" s="1"/>
  <c r="P15" i="7" s="1"/>
  <c r="K14" i="7"/>
  <c r="I14" i="7"/>
  <c r="J14" i="7" s="1"/>
  <c r="P14" i="7" s="1"/>
  <c r="K13" i="7"/>
  <c r="I13" i="7"/>
  <c r="J13" i="7" s="1"/>
  <c r="P13" i="7" s="1"/>
  <c r="K8" i="7"/>
  <c r="I8" i="7"/>
  <c r="J8" i="7" s="1"/>
  <c r="P8" i="7" s="1"/>
  <c r="K4" i="7"/>
  <c r="I4" i="7"/>
  <c r="J4" i="7" s="1"/>
  <c r="P4" i="7" s="1"/>
  <c r="K11" i="7"/>
  <c r="I11" i="7"/>
  <c r="J11" i="7" s="1"/>
  <c r="P11" i="7" s="1"/>
  <c r="K12" i="7"/>
  <c r="I12" i="7"/>
  <c r="J12" i="7" s="1"/>
  <c r="K3" i="7"/>
  <c r="I3" i="7"/>
  <c r="J3" i="7" s="1"/>
  <c r="P3" i="7" s="1"/>
  <c r="K10" i="7"/>
  <c r="I10" i="7"/>
  <c r="J10" i="7" s="1"/>
  <c r="K6" i="7"/>
  <c r="I6" i="7"/>
  <c r="J6" i="7" s="1"/>
  <c r="P6" i="7" s="1"/>
  <c r="K9" i="7"/>
  <c r="I9" i="7"/>
  <c r="J9" i="7" s="1"/>
  <c r="P9" i="7" s="1"/>
  <c r="K7" i="7"/>
  <c r="I7" i="7"/>
  <c r="J7" i="7" s="1"/>
  <c r="P7" i="7" s="1"/>
  <c r="K2" i="7"/>
  <c r="J2" i="7"/>
  <c r="P2" i="7" s="1"/>
  <c r="I2" i="7"/>
  <c r="K5" i="7"/>
  <c r="I5" i="7"/>
  <c r="J5" i="7" s="1"/>
  <c r="P5" i="7" s="1"/>
  <c r="B37" i="6"/>
  <c r="B31" i="6"/>
  <c r="B29" i="6"/>
  <c r="B20" i="6"/>
  <c r="B11" i="6"/>
  <c r="B6" i="6"/>
  <c r="B3" i="6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P10" i="7" l="1"/>
  <c r="P12" i="7"/>
  <c r="Q6" i="7" s="1"/>
  <c r="Q15" i="7"/>
  <c r="Q13" i="7"/>
  <c r="Q16" i="7"/>
  <c r="Q11" i="7"/>
  <c r="Q7" i="7"/>
  <c r="Q3" i="7"/>
  <c r="Q2" i="7"/>
  <c r="Q8" i="7"/>
  <c r="Q17" i="7"/>
  <c r="Q10" i="7"/>
  <c r="S15" i="8"/>
  <c r="Q5" i="7" l="1"/>
  <c r="Q12" i="7"/>
  <c r="Q4" i="7"/>
  <c r="Q9" i="7"/>
  <c r="Q14" i="7"/>
</calcChain>
</file>

<file path=xl/sharedStrings.xml><?xml version="1.0" encoding="utf-8"?>
<sst xmlns="http://schemas.openxmlformats.org/spreadsheetml/2006/main" count="2165" uniqueCount="1120">
  <si>
    <t>Venue</t>
  </si>
  <si>
    <t>Type</t>
  </si>
  <si>
    <t>UALR gate</t>
  </si>
  <si>
    <t>Peer review</t>
  </si>
  <si>
    <t>Proceedings/journal</t>
  </si>
  <si>
    <t>Submission</t>
  </si>
  <si>
    <t>Final decision</t>
  </si>
  <si>
    <t>Acceptance notice</t>
  </si>
  <si>
    <t>Paper fit</t>
  </si>
  <si>
    <t>Reliability</t>
  </si>
  <si>
    <t>Acceptance risk</t>
  </si>
  <si>
    <t>Recovery value</t>
  </si>
  <si>
    <t>Weighted score</t>
  </si>
  <si>
    <t>Status</t>
  </si>
  <si>
    <t>Timing score</t>
  </si>
  <si>
    <t>Primary source</t>
  </si>
  <si>
    <t>Secondary source</t>
  </si>
  <si>
    <t>Evidence / rejection rationale</t>
  </si>
  <si>
    <t>AKBC 2026</t>
  </si>
  <si>
    <t>Workshop</t>
  </si>
  <si>
    <t>Conditional</t>
  </si>
  <si>
    <t>Double-blind; research-paper review</t>
  </si>
  <si>
    <t>EMNLP-affiliated workshop proceedings</t>
  </si>
  <si>
    <t>Expected; confirm exact wording</t>
  </si>
  <si>
    <t>SHORTLIST—only if a polished paper is ready by July 27</t>
  </si>
  <si>
    <t>https://www.akbc.ws/2026/</t>
  </si>
  <si>
    <t>https://2026.emnlp.org/</t>
  </si>
  <si>
    <t>Excellent fit for RAG with structured sources, knowledge graphs, attribution, evaluation and trustworthy AI. Workshop proceedings require explicit committee approval.</t>
  </si>
  <si>
    <t>WAAI 2026</t>
  </si>
  <si>
    <t>Double-blind; at least 2 experts</t>
  </si>
  <si>
    <t>CEUR Workshop Proceedings planned/submitted</t>
  </si>
  <si>
    <t>Must confirm 'accepted for publication'</t>
  </si>
  <si>
    <t>SHORTLIST—best early-decision workshop if CEUR route is approved</t>
  </si>
  <si>
    <t>https://grupogemis.com.ar/icai/waai/2026/</t>
  </si>
  <si>
    <t>https://icai.itiud.org/?pid=acceptedWorkshops</t>
  </si>
  <si>
    <t>Very favorable calendar and full-paper length. Publication is described as submission to CEUR rather than an unconditional 2026 guarantee.</t>
  </si>
  <si>
    <t>GAISS 2026</t>
  </si>
  <si>
    <t>Main conference</t>
  </si>
  <si>
    <t>Double-blind</t>
  </si>
  <si>
    <t>IEEE proceedings; Xplore subject to scope/quality requirements</t>
  </si>
  <si>
    <t>Expected; independently verify conference record</t>
  </si>
  <si>
    <t>CONDITIONAL—very early decision, but independently verify IEEE status</t>
  </si>
  <si>
    <t>https://gaiss.gyancity.com/</t>
  </si>
  <si>
    <t>https://gaiss.info/call-for-papers</t>
  </si>
  <si>
    <t>Direct fit for governance, audit trails, policy gates, metrics and secure GenAI. New venue and unusually short review cycle require verification through the IEEE conference record.</t>
  </si>
  <si>
    <t>IEEE DASC 2026</t>
  </si>
  <si>
    <t>Pass pending committee</t>
  </si>
  <si>
    <t>Peer review; reviewer count not stated on reviewed page</t>
  </si>
  <si>
    <t>IEEE Computer Society proceedings</t>
  </si>
  <si>
    <t>Expected</t>
  </si>
  <si>
    <t>SHORTLIST—strong reliable route with security/reliability framing</t>
  </si>
  <si>
    <t>https://cyber-science.org/2026/dasc/callpaper/</t>
  </si>
  <si>
    <t>https://cyber-science.org/2026/dasc/papersubmissions/</t>
  </si>
  <si>
    <t>Fits security auditing, compliance, trust management and trustworthy/safe AI. Requires a strong reference-monitor and information-flow framing.</t>
  </si>
  <si>
    <t>Learning on Graphs 2026</t>
  </si>
  <si>
    <t>Double-blind via OpenReview</t>
  </si>
  <si>
    <t>Proceedings of Machine Learning Research (PMLR)</t>
  </si>
  <si>
    <t>CONDITIONAL—publisher is strong; scope inquiry recommended</t>
  </si>
  <si>
    <t>https://logconference.org/cfp/</t>
  </si>
  <si>
    <t>https://proceedings.mlr.press/</t>
  </si>
  <si>
    <t>Strong publication reliability, but GovernRAG is KG-derived governance rather than a new graph-learning method. Reviewers may see a scope mismatch.</t>
  </si>
  <si>
    <t>KGSWC 2026</t>
  </si>
  <si>
    <t>Double-blind; at least 3 independent reviewers</t>
  </si>
  <si>
    <t>Springer LNCS publication described as planned</t>
  </si>
  <si>
    <t>Must confirm after publisher approval</t>
  </si>
  <si>
    <t>SHORTLIST CONDITIONALLY—excellent fit; confirm LNCS contract</t>
  </si>
  <si>
    <t>https://kgsw.org/call_for_paper.php</t>
  </si>
  <si>
    <t>https://easychair.org/cfp/KGSWC-2026</t>
  </si>
  <si>
    <t>Excellent fit for ontologies, knowledge graphs with LLMs, reasoning and empirical evaluation. Do not rely on it until the 2026 proceedings publisher is confirmed.</t>
  </si>
  <si>
    <t>IEEE TPS 2026</t>
  </si>
  <si>
    <t>Peer-reviewed IEEE research track</t>
  </si>
  <si>
    <t>IEEE Computer Society/CPS proceedings</t>
  </si>
  <si>
    <t>SHORTLIST—strongest conventional topic fit</t>
  </si>
  <si>
    <t>https://www.ieee-security.org/Calendar/cfps/cfp-TPS2026.html</t>
  </si>
  <si>
    <t>https://tps.ieee-cs.org/2026/</t>
  </si>
  <si>
    <t>Direct match to trusted AI, access/trust management, provenance, secure information flow and risk metrics. Later decision reduces sequential fallback options.</t>
  </si>
  <si>
    <t>NordSec 2026</t>
  </si>
  <si>
    <t>Double-blind; at least 3 reviewers</t>
  </si>
  <si>
    <t>Springer LNCS</t>
  </si>
  <si>
    <t>SHORTLIST—credible security route</t>
  </si>
  <si>
    <t>https://nordsec2026.dk/</t>
  </si>
  <si>
    <t>https://easychair.org/cfp/NordSec2026</t>
  </si>
  <si>
    <t>Good fit under authorization, least privilege, information-flow control, auditability and trustworthy AI. Security novelty expectations may be demanding.</t>
  </si>
  <si>
    <t>RSC 2026 — Round 2</t>
  </si>
  <si>
    <t>Springer CCIS</t>
  </si>
  <si>
    <t>SHORTLIST AS LATE FALLBACK</t>
  </si>
  <si>
    <t>https://easychair.org/cfp/rsc2026</t>
  </si>
  <si>
    <t>Confirmed Springer route and useful trustworthy/reliable AI scope. Final decision is at the end of September, leaving little recovery time.</t>
  </si>
  <si>
    <t>IJCKG 2026 KGE-LLM</t>
  </si>
  <si>
    <t>Peer review stated generally; reviewer count not verified</t>
  </si>
  <si>
    <t>CEUR Workshop Proceedings submission planned</t>
  </si>
  <si>
    <t>Must confirm</t>
  </si>
  <si>
    <t>CONDITIONAL FALLBACK—near-exact fit; verify publication process</t>
  </si>
  <si>
    <t>https://easychair.org/cfp/IJCKG-26</t>
  </si>
  <si>
    <t>https://ijckg2026.aiat.or.th/</t>
  </si>
  <si>
    <t>Near-exact GraphRAG/KG-LLM/evaluation fit. Workshop review details, publisher commitment and acceptance-letter wording require confirmation.</t>
  </si>
  <si>
    <t>KICSS 2026</t>
  </si>
  <si>
    <t>Peer review; reviewer count not stated</t>
  </si>
  <si>
    <t>Conference proceedings; publisher not identified</t>
  </si>
  <si>
    <t>CONDITIONAL—excellent scope, insufficient proceedings clarity</t>
  </si>
  <si>
    <t>https://easychair.org/cfp/KICSS2026</t>
  </si>
  <si>
    <t>CFP explicitly names KG, trustworthy AI, AI governance, RAG, generative-AI evaluation and risk analysis. Publication publisher and archival status are unclear.</t>
  </si>
  <si>
    <t>FMLDS 2026</t>
  </si>
  <si>
    <t>At least 2 independent reviewers</t>
  </si>
  <si>
    <t>Conference proceedings; possible IEEE Xplore submission</t>
  </si>
  <si>
    <t>Expected; confirm proceedings wording</t>
  </si>
  <si>
    <t>CONDITIONAL—AI-authoring policy may make submission unsafe</t>
  </si>
  <si>
    <t>https://fmlds.org/2026/calls.php</t>
  </si>
  <si>
    <t>https://fmlds.org/2026/submissions.php</t>
  </si>
  <si>
    <t>Good calendar but broad fit and only 4–6 pages. CFP prohibits paper/content prepared using AI software; obtain clarification and comply fully before submission.</t>
  </si>
  <si>
    <t>ICISET 2026 (NUST Namibia)</t>
  </si>
  <si>
    <t>Peer review reported; exact reviewer count not verified</t>
  </si>
  <si>
    <t>Springer ACSAR route for selected papers; online proceedings fallback</t>
  </si>
  <si>
    <t>Must confirm publication category</t>
  </si>
  <si>
    <t>LOW-PRIORITY CONDITIONAL—deadline and publisher allocation risk</t>
  </si>
  <si>
    <t>https://iciset.nust.na/</t>
  </si>
  <si>
    <t>https://7easychair-www.easychair.org/cfp/ICISET2026</t>
  </si>
  <si>
    <t>Broad AI/security/governance scope. Publication path may differ by paper; committee should approve the exact proceedings route, not the conference name alone.</t>
  </si>
  <si>
    <t>SovereignAI 2026</t>
  </si>
  <si>
    <t>Fail/Unverified</t>
  </si>
  <si>
    <t>Not verified</t>
  </si>
  <si>
    <t>No archival proceedings commitment found</t>
  </si>
  <si>
    <t>Unknown</t>
  </si>
  <si>
    <t>REJECT unless archival publication and decision process are documented</t>
  </si>
  <si>
    <t>https://easychair.org/cfp/SovereignAI-2026</t>
  </si>
  <si>
    <t>Relevant themes include RAG, provenance, safety evaluation and oversight, but no reliable final-decision date or proceedings commitment was found.</t>
  </si>
  <si>
    <t>ICIES 2026</t>
  </si>
  <si>
    <t>Conditional/Low evidence</t>
  </si>
  <si>
    <t>Not sufficiently documented on reviewed sources</t>
  </si>
  <si>
    <t>Proceedings publisher unclear</t>
  </si>
  <si>
    <t>REJECT—late decision and unclear publication route</t>
  </si>
  <si>
    <t>https://login.easychair.org/cfp/icies2026</t>
  </si>
  <si>
    <t>Broad enterprise AI fit, but not sufficiently close to the paper and the late October decision is unsafe for Fall 2026.</t>
  </si>
  <si>
    <t>IEEE BigData 2026</t>
  </si>
  <si>
    <t>Peer-reviewed full-paper track</t>
  </si>
  <si>
    <t>IEEE conference proceedings</t>
  </si>
  <si>
    <t>REJECT FOR GRADUATION TIMING—credible but decision is too late</t>
  </si>
  <si>
    <t>https://bigdataieee.org/BigData2026/calls/papers/</t>
  </si>
  <si>
    <t>https://bigdataieee.org/BigData2026/important-dates/</t>
  </si>
  <si>
    <t>Strong fit for evaluation, benchmarking and responsible AI, but an October 24 rejection leaves almost no Fall recovery path.</t>
  </si>
  <si>
    <t>IEEE ICA 2026</t>
  </si>
  <si>
    <t>Peer-reviewed IEEE conference</t>
  </si>
  <si>
    <t>IEEE proceedings expected</t>
  </si>
  <si>
    <t>REJECT—agentic/multi-agent scope mismatch and late decision</t>
  </si>
  <si>
    <t>https://easychair.org/cfp/ica-2026</t>
  </si>
  <si>
    <t>The conference focuses on agentic AI and multi-agent systems. The paper profile explicitly says GovernRAG is not a multi-agent study.</t>
  </si>
  <si>
    <t>TAIG 2026</t>
  </si>
  <si>
    <t>Workshop + edited volume</t>
  </si>
  <si>
    <t>Fail for Fall 2026</t>
  </si>
  <si>
    <t>Extended abstract and later full paper are peer reviewed</t>
  </si>
  <si>
    <t>Invitation to Springer LNCS edited volume after workshop</t>
  </si>
  <si>
    <t>Only abstract decision in Fall; full paper review occurs in 2027</t>
  </si>
  <si>
    <t>REJECT FOR FALL—full paper cannot be accepted before semester end</t>
  </si>
  <si>
    <t>https://easychair.org/cfp/taig2026</t>
  </si>
  <si>
    <t>https://www.ln.edu.hk/sds/news-and-events-v0/sds_news_and_event_2026_TAIG</t>
  </si>
  <si>
    <t>Excellent governance topic, but September submission is a 2-page abstract. Full papers are due December 31 and reviewed in January 2027.</t>
  </si>
  <si>
    <t>RTCA @ NeurIPS 2026</t>
  </si>
  <si>
    <t>Fail</t>
  </si>
  <si>
    <t>Explicitly non-archival</t>
  </si>
  <si>
    <t>No acceptance for publication</t>
  </si>
  <si>
    <t>REJECT—non-archival and real-time multimodal scope mismatch</t>
  </si>
  <si>
    <t>https://rtcaneurips26.github.io/</t>
  </si>
  <si>
    <t>https://www.reddit.com/r/MachineLearning/comments/1uy8e0v/cfp_rtca_neurips_2026_r/</t>
  </si>
  <si>
    <t>The CFP explicitly calls the workshop non-archival and focuses on real-time speech/video conversational agents, which the venue profile identifies as a mismatch.</t>
  </si>
  <si>
    <t>IEEE/WIC WI-IAT 2026</t>
  </si>
  <si>
    <t>Would likely pass</t>
  </si>
  <si>
    <t>CLOSED—deadline passed July 15</t>
  </si>
  <si>
    <t>https://wi-iat.com/</t>
  </si>
  <si>
    <t>https://wi-iat.com/wi-iat2026/Tracks-and-Topics.html</t>
  </si>
  <si>
    <t>Relevant FAccT/LLM, responsible AI, robustness, metrics and KG tracks, but the extended paper deadline passed.</t>
  </si>
  <si>
    <t>RAGE-KG @ ISWC 2026</t>
  </si>
  <si>
    <t>Peer-reviewed workshop</t>
  </si>
  <si>
    <t>CEUR-style workshop proceedings expected</t>
  </si>
  <si>
    <t>August 2026</t>
  </si>
  <si>
    <t>Expected if accepted</t>
  </si>
  <si>
    <t>CLOSED TO NEW SUBMISSIONS—abstract registration passed July 17</t>
  </si>
  <si>
    <t>https://easychair.org/cfp/RAGE-KG2026</t>
  </si>
  <si>
    <t>Near-exact RAG and KG fit, but the required abstract-registration deadline passed.</t>
  </si>
  <si>
    <t>NLP4KGC @ ISWC 2026</t>
  </si>
  <si>
    <t>Workshop proceedings</t>
  </si>
  <si>
    <t>https://easychair.org/cfp/NLP4KGC2026</t>
  </si>
  <si>
    <t>Strong NLP/LLM/KG fit, but new submissions are no longer feasible.</t>
  </si>
  <si>
    <t>Sci-K 2026</t>
  </si>
  <si>
    <t>CEUR proceedings</t>
  </si>
  <si>
    <t>IMPRactical—deadline is immediate and scope centers scholarly knowledge</t>
  </si>
  <si>
    <t>https://easychair.org/cfp/scik2026</t>
  </si>
  <si>
    <t>A potentially valid proceedings route, but the scope is scientific/scholarly knowledge graphs and the submission window is effectively closed.</t>
  </si>
  <si>
    <t>KG-NeSy 2026</t>
  </si>
  <si>
    <t>Expected if archival</t>
  </si>
  <si>
    <t>IMPRactical—near-deadline and contribution is not primarily neuro-symbolic learning</t>
  </si>
  <si>
    <t>https://easychair.org/cfp/KG-NeSy2026</t>
  </si>
  <si>
    <t>Related through ontologies and reasoning, but the paper is a governance reference monitor rather than a neuro-symbolic model contribution.</t>
  </si>
  <si>
    <t>X-TAIL 2026</t>
  </si>
  <si>
    <t>REJECT—long-tail knowledge scope mismatch and immediate deadline</t>
  </si>
  <si>
    <t>https://easychair.org/cfp/X-TAIL2026</t>
  </si>
  <si>
    <t>The paper is not specifically about long-tail knowledge, bias or rare-entity performance.</t>
  </si>
  <si>
    <t>TRUST 2026 @ ASE</t>
  </si>
  <si>
    <t>Rigorous peer review stated</t>
  </si>
  <si>
    <t>Archival route not confirmed in reviewed source</t>
  </si>
  <si>
    <t>CLOSED/IMMEDIATE—deadline is today and paper is not ready</t>
  </si>
  <si>
    <t>https://easychair.org/cfp/TRUST2026</t>
  </si>
  <si>
    <t>Relevant to trustworthy and responsible autonomous systems, but the deadline is not realistically usable and publication status needs confirmation.</t>
  </si>
  <si>
    <t>IEEE IRAI 2026</t>
  </si>
  <si>
    <t>IEEE proceedings</t>
  </si>
  <si>
    <t>Closed</t>
  </si>
  <si>
    <t>CLOSED—submission deadline passed</t>
  </si>
  <si>
    <t>https://irai2026.ieee-ies.org/</t>
  </si>
  <si>
    <t>Direct responsible-AI fit, but no longer available.</t>
  </si>
  <si>
    <t>AIES 2026</t>
  </si>
  <si>
    <t>Peer-reviewed AAAI conference</t>
  </si>
  <si>
    <t>AAAI conference proceedings</t>
  </si>
  <si>
    <t>https://www.aies-conference.com/2026/call-for-papers/</t>
  </si>
  <si>
    <t>Governance fit is good, but the contribution is more technical systems/evaluation than socio-technical ethics and the deadline passed.</t>
  </si>
  <si>
    <t>TRUST-AI 2026</t>
  </si>
  <si>
    <t>CEUR proceedings planned</t>
  </si>
  <si>
    <t>https://bdva.eu/events/trust-ai-2026/</t>
  </si>
  <si>
    <t>Strong trustworthy-AI fit but no longer available.</t>
  </si>
  <si>
    <t>ISMIS 2026</t>
  </si>
  <si>
    <t>At least 3 PC reviewers</t>
  </si>
  <si>
    <t>Springer LNCS/LNAI</t>
  </si>
  <si>
    <t>https://ismis2026.univ-lyon1.fr/</t>
  </si>
  <si>
    <t>https://easychair.org/cfp/ISMIS-2026</t>
  </si>
  <si>
    <t>Excellent responsible/trustworthy AI, IR and knowledge-representation fit, but the conference has already occurred.</t>
  </si>
  <si>
    <t>IEEE AITest 2026</t>
  </si>
  <si>
    <t>https://ieeeaitest.com/</t>
  </si>
  <si>
    <t>Strong evaluation, assurance and governance fit, but closed.</t>
  </si>
  <si>
    <t>NeurIPS 2026 Evaluations &amp; Datasets</t>
  </si>
  <si>
    <t>Main conference track</t>
  </si>
  <si>
    <t>Would pass</t>
  </si>
  <si>
    <t>Full NeurIPS review</t>
  </si>
  <si>
    <t>NeurIPS proceedings</t>
  </si>
  <si>
    <t>https://neurips.cc/Conferences/2026/CallForEvaluationsDatasets</t>
  </si>
  <si>
    <t>Methodologically relevant but highly selective and closed.</t>
  </si>
  <si>
    <t>NeurIPS 2026 workshop family</t>
  </si>
  <si>
    <t>Workshops</t>
  </si>
  <si>
    <t>Usually fail UALR</t>
  </si>
  <si>
    <t>Workshop-specific peer review</t>
  </si>
  <si>
    <t>Generally non-archival unless explicitly stated otherwise</t>
  </si>
  <si>
    <t>Usually no archival acceptance</t>
  </si>
  <si>
    <t>REJECT AS A CLASS unless a specific workshop confirms archival proceedings</t>
  </si>
  <si>
    <t>https://neurips.cc/Conferences/2026/CallForWorkshops</t>
  </si>
  <si>
    <t>https://neurips.cc/Conferences/2026/MainTrackHandbook</t>
  </si>
  <si>
    <t>OpenReview surfaced IAEval, FLMSec, Verify-Agents and other potentially related workshops. NeurIPS treats workshop submissions as non-archival unless the individual workshop explicitly provides an archival route.</t>
  </si>
  <si>
    <t>Venue Evaluation Method</t>
  </si>
  <si>
    <t>Search cutoff</t>
  </si>
  <si>
    <t>2026-07-23</t>
  </si>
  <si>
    <t>Search scope</t>
  </si>
  <si>
    <t>Open or recently closed 2026 conferences/workshops relevant to GovernRAG, using official sites, EasyChair, WikiCFP, IEEE listings, OpenReview, ACL/EMNLP pages, conference listserv/index sites, and publisher/proceedings records.</t>
  </si>
  <si>
    <t>Important limitation</t>
  </si>
  <si>
    <t>No internet scan can prove mathematical completeness. The workbook is a documented best-effort global longlist as of the cutoff date; CFP dates and publication commitments can change.</t>
  </si>
  <si>
    <t>Mandatory UALR gates</t>
  </si>
  <si>
    <t>Research paper; legitimate peer review; journal or conference/workshop proceedings publication; formal acceptance for publication; first/second authorship; dissertation relevance; committee approval; acceptance before the internal graduation cutoff.</t>
  </si>
  <si>
    <t>Workshop interpretation</t>
  </si>
  <si>
    <t>UALR does not explicitly exclude workshops. A workshop remains conditional until the committee approves the exact archival proceedings route.</t>
  </si>
  <si>
    <t>Weighted dimension</t>
  </si>
  <si>
    <t>Weight</t>
  </si>
  <si>
    <t>Formula</t>
  </si>
  <si>
    <t>Weighted score = 20 × (0.25×Timing + 0.25×Reliability + 0.25×Paper fit + 0.15×Acceptance risk + 0.10×Recovery value)</t>
  </si>
  <si>
    <t>Scale</t>
  </si>
  <si>
    <t>0–5 for each dimension. For Acceptance risk, 5 means relatively lower risk; 1 means very high risk. Scores are comparative judgments, not acceptance probabilities.</t>
  </si>
  <si>
    <t>Cost / travel</t>
  </si>
  <si>
    <t>Excluded from scoring at the user's request.</t>
  </si>
  <si>
    <t>Committee approval</t>
  </si>
  <si>
    <t>A high weighted score never overrides a failed or unconfirmed UALR gate.</t>
  </si>
  <si>
    <t>Source category</t>
  </si>
  <si>
    <t>Source</t>
  </si>
  <si>
    <t>Use in the scan</t>
  </si>
  <si>
    <t>University requirement</t>
  </si>
  <si>
    <t>https://catalog.ualr.edu/preview_program.php?catoid=21&amp;poid=5481&amp;returnto=2486</t>
  </si>
  <si>
    <t>Catalog page supplied by the user; direct automated access was blocked by JavaScript/anti-bot. The quoted publication requirement was treated as authoritative.</t>
  </si>
  <si>
    <t>University program page</t>
  </si>
  <si>
    <t>https://ualr.edu/cis/admission-requirements/</t>
  </si>
  <si>
    <t>Confirmed that the CIS Ph.D. program has a publication requirement and refers students to the catalog.</t>
  </si>
  <si>
    <t>CFP discovery</t>
  </si>
  <si>
    <t>https://easychair.org/cfp</t>
  </si>
  <si>
    <t>Broad current CFP discovery by topic, date and country.</t>
  </si>
  <si>
    <t>https://www.wikicfp.com/</t>
  </si>
  <si>
    <t>Secondary discovery and date cross-checking.</t>
  </si>
  <si>
    <t>Security CFP calendar</t>
  </si>
  <si>
    <t>https://www.ieee-security.org/CFP/upcoming-conferences.html</t>
  </si>
  <si>
    <t>Security, trust, privacy and dependable-systems conferences.</t>
  </si>
  <si>
    <t>IEEE AI event listing</t>
  </si>
  <si>
    <t>https://ai.ieee.org/events/</t>
  </si>
  <si>
    <t>IEEE AI and responsible-AI event discovery.</t>
  </si>
  <si>
    <t>OpenReview venues</t>
  </si>
  <si>
    <t>https://openreview.net/</t>
  </si>
  <si>
    <t>NeurIPS/ICML/ICLR and workshop discovery; review-status and deadline checks.</t>
  </si>
  <si>
    <t>NeurIPS workshop policy</t>
  </si>
  <si>
    <t>Workshop contribution dates and archival-risk assessment.</t>
  </si>
  <si>
    <t>ACL events</t>
  </si>
  <si>
    <t>https://www.aclweb.org/portal/events</t>
  </si>
  <si>
    <t>NLP/LLM/KG workshop discovery.</t>
  </si>
  <si>
    <t>Publisher verification</t>
  </si>
  <si>
    <t>PMLR proceedings confirmation.</t>
  </si>
  <si>
    <t>https://ceur-ws.org/</t>
  </si>
  <si>
    <t>CEUR workshop-proceedings history checks.</t>
  </si>
  <si>
    <t>https://link.springer.com/</t>
  </si>
  <si>
    <t>Springer LNCS/CCIS prior-volume and publisher checks.</t>
  </si>
  <si>
    <t>Conference listing</t>
  </si>
  <si>
    <t>https://researchr.org/conference</t>
  </si>
  <si>
    <t>Secondary conference discovery.</t>
  </si>
  <si>
    <t>https://callforpaper.org/</t>
  </si>
  <si>
    <t>Secondary date and publication cross-checking.</t>
  </si>
  <si>
    <t>Listserv discovery</t>
  </si>
  <si>
    <t>https://listserv.acm.org/</t>
  </si>
  <si>
    <t>DBWorld/ACM listserv searches; search-engine coverage was limited.</t>
  </si>
  <si>
    <t>Paper profile</t>
  </si>
  <si>
    <t>Uploaded GovernRAG Paper 2 — Venue-Matching Profile</t>
  </si>
  <si>
    <t>Fit criteria, format, contribution, negative-match criteria and readiness assumptions.</t>
  </si>
  <si>
    <t>Deadline state (Jul 23)</t>
  </si>
  <si>
    <t>Extension status / evidence</t>
  </si>
  <si>
    <t>Extension-watch priority</t>
  </si>
  <si>
    <t>Manual verification action</t>
  </si>
  <si>
    <t>Evidence / rationale</t>
  </si>
  <si>
    <t>Open—near deadline (4 days)</t>
  </si>
  <si>
    <t>No official extension found; current direct-submission date is July 27.</t>
  </si>
  <si>
    <t>HIGH—verify daily</t>
  </si>
  <si>
    <t>Open the official CFP/important-dates page immediately before making the submission decision.</t>
  </si>
  <si>
    <t>Open</t>
  </si>
  <si>
    <t>No extension found in the checked CFP; current deadline August 9.</t>
  </si>
  <si>
    <t>MEDIUM</t>
  </si>
  <si>
    <t>Open—near deadline (7 days)</t>
  </si>
  <si>
    <t>No extension found; independently verify the conference and current deadline.</t>
  </si>
  <si>
    <t>HIGH—verification needed</t>
  </si>
  <si>
    <t>Open—near deadline (8 days)</t>
  </si>
  <si>
    <t>No extension found; current deadline July 31.</t>
  </si>
  <si>
    <t>Open—near deadline (9 days)</t>
  </si>
  <si>
    <t>Abstract deadline July 29 and paper deadline August 1; verify both.</t>
  </si>
  <si>
    <t>No confirmed extension found; verify the official dates and Springer status.</t>
  </si>
  <si>
    <t>Round 2 deadline currently August 15.</t>
  </si>
  <si>
    <t>LOW</t>
  </si>
  <si>
    <t>Current deadline August 17; no additional extension found.</t>
  </si>
  <si>
    <t>Round 2 deadline currently August 31.</t>
  </si>
  <si>
    <t>Workshop deadline currently September 9; confirm exact track dates.</t>
  </si>
  <si>
    <t>Conflicting dates have appeared across sources; verify only on the official site.</t>
  </si>
  <si>
    <t>HIGH—date conflict</t>
  </si>
  <si>
    <t>Current deadline July 31; verify AI-authoring policy before submission.</t>
  </si>
  <si>
    <t>Current deadline July 27; publisher allocation remains conditional.</t>
  </si>
  <si>
    <t>Current listed deadline August 7; publication route remains unverified.</t>
  </si>
  <si>
    <t>Current listed deadline August 16; publication route unclear.</t>
  </si>
  <si>
    <t>Current deadline August 21.</t>
  </si>
  <si>
    <t>Current deadline September 15.</t>
  </si>
  <si>
    <t>September date is for an abstract; full-paper review occurs after Fall.</t>
  </si>
  <si>
    <t>NONE</t>
  </si>
  <si>
    <t>Deadline may remain open, but the workshop is explicitly non-archival.</t>
  </si>
  <si>
    <t>GLOW@ISWC 2026</t>
  </si>
  <si>
    <t>Paper selection on originality, clarity and technical quality; reviewer count not stated</t>
  </si>
  <si>
    <t>CEUR Workshop Proceedings; accepted papers included; Scopus indexing stated</t>
  </si>
  <si>
    <t>Expected; confirm exact acceptance-letter wording</t>
  </si>
  <si>
    <t>EXTENSION WATCH—excellent fit; currently open on an already-extended deadline</t>
  </si>
  <si>
    <t>Open—near deadline (1 day)</t>
  </si>
  <si>
    <t>CONFIRMED EXTENSION: July 14 → July 24; notification August 11 → August 21.</t>
  </si>
  <si>
    <t>HIGH—verify immediately</t>
  </si>
  <si>
    <t>Check the official workshop news/important-dates section before submission.</t>
  </si>
  <si>
    <t>https://glow-workshop.github.io/iswc2026/</t>
  </si>
  <si>
    <t>https://easychair.org/cfp/glowiswc26</t>
  </si>
  <si>
    <t>Excellent fit for trustworthy LLMs, ontology grounding, GraphRAG, fact-checking and enterprise KGs.</t>
  </si>
  <si>
    <t>RAGE-KG 2026</t>
  </si>
  <si>
    <t>Single-blind; multiple researchers</t>
  </si>
  <si>
    <t>Expected; confirm wording</t>
  </si>
  <si>
    <t>EXTENSION WATCH—near-exact fit; abstract registration already closed</t>
  </si>
  <si>
    <t>Paper due tomorrow; abstract registration closed July 17</t>
  </si>
  <si>
    <t>No official extension found in the checked CFP. Ask whether late abstract registration is permitted.</t>
  </si>
  <si>
    <t>HIGH—contact organizers now</t>
  </si>
  <si>
    <t>Verify the submission system accepts a new paper without prior abstract registration.</t>
  </si>
  <si>
    <t>https://2026.rage-kg.org/</t>
  </si>
  <si>
    <t>Near-exact fit for GraphRAG, structured evidence, evaluation and reliable/verifiable generation.</t>
  </si>
  <si>
    <t>NLP4KGC 2026</t>
  </si>
  <si>
    <t>Double-blind; at least 2 program-committee reviewers</t>
  </si>
  <si>
    <t>CEUR-ART proceedings format; archival publication should be confirmed</t>
  </si>
  <si>
    <t>Expected; confirm publication wording</t>
  </si>
  <si>
    <t>EXTENSION WATCH—strong fit; abstract registration already closed</t>
  </si>
  <si>
    <t>Prior editions have extended deadlines; no 2026 extension beyond July 24 found yet.</t>
  </si>
  <si>
    <t>Verify whether late abstract registration is accepted and whether accepted papers are formally published in CEUR.</t>
  </si>
  <si>
    <t>https://5thnlp4kgc-code.github.io/5nlp4kgc/index.html</t>
  </si>
  <si>
    <t>Strong fit for GraphRAG, LLM/KG integration, responsible AI and negative-result papers.</t>
  </si>
  <si>
    <t>Single-blind; at least 2 reviewers</t>
  </si>
  <si>
    <t>CEUR Workshop Proceedings</t>
  </si>
  <si>
    <t>EXTENSION WATCH—currently open on a confirmed extension</t>
  </si>
  <si>
    <t>CONFIRMED EXTENSION: July 15 → July 24.</t>
  </si>
  <si>
    <t>Check the official site and EasyChair before submission.</t>
  </si>
  <si>
    <t>https://kg-nesy.github.io/</t>
  </si>
  <si>
    <t>Relevant to trustworthy KG-based systems, certification/auditing, evaluation metrics and neuro-symbolic reasoning.</t>
  </si>
  <si>
    <t>AIAA4KE 2026</t>
  </si>
  <si>
    <t>Review process not specified on the reviewed CFP</t>
  </si>
  <si>
    <t>CEUR format requested; publication commitment must be confirmed</t>
  </si>
  <si>
    <t>EXTENSION WATCH—strong governance/evaluation themes but publication details incomplete</t>
  </si>
  <si>
    <t>No official extension found; abstract registration and submission are both listed as July 24.</t>
  </si>
  <si>
    <t>Confirm peer-review count, proceedings publisher and acceptance-for-publication wording.</t>
  </si>
  <si>
    <t>https://sites.google.com/view/aiaa4ke/</t>
  </si>
  <si>
    <t>https://easychair.org/cfp/aiaa4ke2026</t>
  </si>
  <si>
    <t>CFP includes benchmarks, LLM-as-judge, logging, audit/rollback and approval/governance workflows.</t>
  </si>
  <si>
    <t>Peer-review details not fully verified in the checked page</t>
  </si>
  <si>
    <t>Proceedings route must be confirmed</t>
  </si>
  <si>
    <t>EXTENSION WATCH—available only if organizers extend or submission remains open</t>
  </si>
  <si>
    <t>No extension announcement found; current deadline July 24.</t>
  </si>
  <si>
    <t>Verify publication and peer-review details before treating it as UALR-compliant.</t>
  </si>
  <si>
    <t>https://sci-k.github.io/2026/</t>
  </si>
  <si>
    <t>Moderate fit: evaluation of knowledge representations and AI-driven discovery tools, but focused on scholarly knowledge.</t>
  </si>
  <si>
    <t>DMKG 2026</t>
  </si>
  <si>
    <t>Peer-review process should be confirmed</t>
  </si>
  <si>
    <t>Workshop proceedings route should be confirmed</t>
  </si>
  <si>
    <t>EXTENSION WATCH—paper deadline appears July 24 after July 17 abstract deadline</t>
  </si>
  <si>
    <t>Paper due tomorrow; abstract deadline passed</t>
  </si>
  <si>
    <t>Current official page distinguishes July 17 abstract and July 24 paper deadlines; verify submission eligibility.</t>
  </si>
  <si>
    <t>Check whether new papers can be entered after the abstract deadline and confirm archival proceedings.</t>
  </si>
  <si>
    <t>https://dmkg-workshop.github.io/</t>
  </si>
  <si>
    <t>https://easychair.org/cfp/DMKG2026</t>
  </si>
  <si>
    <t>Moderate fit through KG data management, querying, benchmarking and provenance; less direct governance emphasis.</t>
  </si>
  <si>
    <t>XAI+KG 2026</t>
  </si>
  <si>
    <t>Single-blind; 2–3 program-committee reviewers</t>
  </si>
  <si>
    <t>EXTENSION WATCH—deadline closed yesterday; check for a late extension</t>
  </si>
  <si>
    <t>Recently closed (1 day ago)</t>
  </si>
  <si>
    <t>No extension announcement found as of the scan. Very recent closure makes it worth checking once.</t>
  </si>
  <si>
    <t>HIGH—verify today</t>
  </si>
  <si>
    <t>Check the official page and EasyChair; email organizers only if the site has not been updated.</t>
  </si>
  <si>
    <t>https://sites.google.com/view/xaikg2026/call-for-papers</t>
  </si>
  <si>
    <t>https://groups.google.com/a/aixia.it/g/aixia/c/vzDYOvfyjro</t>
  </si>
  <si>
    <t>Good fit for KG-based explanation, evaluation protocols and auditing, though GovernRAG is not primarily an XAI paper.</t>
  </si>
  <si>
    <t>Double-anonymous; at least 3 program-committee reviewers</t>
  </si>
  <si>
    <t>ASE workshop publication route not confirmed on reviewed page</t>
  </si>
  <si>
    <t>EXTENSION WATCH—deadline is today; strong assurance topics but autonomous-systems mismatch</t>
  </si>
  <si>
    <t>Due today</t>
  </si>
  <si>
    <t>No extension announced on the official page; ASE workshop deadlines sometimes move, but this is not guaranteed.</t>
  </si>
  <si>
    <t>Confirm proceedings publication and check the ASE workshop schedule for an updated deadline.</t>
  </si>
  <si>
    <t>https://conf.researchr.org/home/ase-2026/trust-2026</t>
  </si>
  <si>
    <t>Strong topics in governance, monitoring, human oversight, auditing and empirical benchmarks; paper is not agentic/autonomous.</t>
  </si>
  <si>
    <t>Peer-review details not explicitly stated on the reviewed official page</t>
  </si>
  <si>
    <t>CEUR format; prior edition published in CEUR joint proceedings</t>
  </si>
  <si>
    <t>Expected; confirm 2026 proceedings</t>
  </si>
  <si>
    <t>EXTENSION CONFIRMED—include as low-fit backup</t>
  </si>
  <si>
    <t>CONFIRMED EXTENSION: July 26 → July 31.</t>
  </si>
  <si>
    <t>Verify 2026 peer-review and CEUR publication terms.</t>
  </si>
  <si>
    <t>https://www.xtail-workshop.org/</t>
  </si>
  <si>
    <t>https://easychair.org/cfp/x-tail26</t>
  </si>
  <si>
    <t>RAG/KG and negative-results fit, but the paper does not study long-tail knowledge or popularity bias.</t>
  </si>
  <si>
    <t>Peer-reviewed IEEE/WIC conference</t>
  </si>
  <si>
    <t>EXTENSION WATCH ONLY—deadline recently closed and was already extended</t>
  </si>
  <si>
    <t>Recently closed (8 days ago)</t>
  </si>
  <si>
    <t>Secondary trackers describe July 15 as an extended deadline; no further extension found.</t>
  </si>
  <si>
    <t>LOW–MEDIUM</t>
  </si>
  <si>
    <t>Check the official participant/submission page for a final extension or reopened system.</t>
  </si>
  <si>
    <t>https://www.wi-iat.org/wi-iat2026/Participant-Submission.html</t>
  </si>
  <si>
    <t>https://www.myhuiban.com/conference/3604?lang=en_us</t>
  </si>
  <si>
    <t>Strong tracks in responsible AI, robustness, LLM evaluation and knowledge graphs; availability is the only immediate blocker.</t>
  </si>
  <si>
    <t>Deadline-watch rule: 'Extension watch' means verify the official site or submission system; it is not evidence that an extension will occur. Confirmed extensions are explicitly identified in the Extension status / evidence column.</t>
  </si>
  <si>
    <t>Acceptance %</t>
  </si>
  <si>
    <t>Reference year</t>
  </si>
  <si>
    <t>Accepted papers</t>
  </si>
  <si>
    <t>Submissions</t>
  </si>
  <si>
    <t>Evidence category</t>
  </si>
  <si>
    <t>Applicability to listed venue</t>
  </si>
  <si>
    <t>Confidence</t>
  </si>
  <si>
    <t>Source URL</t>
  </si>
  <si>
    <t>Notes</t>
  </si>
  <si>
    <t>Not publicly disclosed</t>
  </si>
  <si>
    <t>No recent exact rate found</t>
  </si>
  <si>
    <t>N/A</t>
  </si>
  <si>
    <t>Do not substitute the EMNLP main-conference rate for this workshop.</t>
  </si>
  <si>
    <t>IEEE ICoDSE 2026</t>
  </si>
  <si>
    <t>Derived from official organizer counts</t>
  </si>
  <si>
    <t>Exact prior edition</t>
  </si>
  <si>
    <t>High</t>
  </si>
  <si>
    <t>https://stei.itb.ac.id/en/2025-ieee-icodse-held-in-batam-generative-ai-meets-data-and-software-engineering/</t>
  </si>
  <si>
    <t>Official university report states 273 submissions and 90 accepted papers.</t>
  </si>
  <si>
    <t>DASC-specific rate was not found on official or proceedings pages reviewed.</t>
  </si>
  <si>
    <t>https://tps.ieee-cs.org/2026/call-for-papers/</t>
  </si>
  <si>
    <t>No defensible TPS-specific recent rate found.</t>
  </si>
  <si>
    <t>Derived from official proceedings preface</t>
  </si>
  <si>
    <t>Exact prior workshop edition</t>
  </si>
  <si>
    <t>https://ceur-ws.org/Vol-4055/preface.pdf</t>
  </si>
  <si>
    <t>WAAI-specific rate. The 54.7% figure across all co-located ICAI workshops is not used as the venue rate.</t>
  </si>
  <si>
    <t>No historical rate</t>
  </si>
  <si>
    <t>First edition / no comparable prior edition</t>
  </si>
  <si>
    <t>No prior-edition acceptance statistics exist.</t>
  </si>
  <si>
    <t>UncertaiNLP 2026</t>
  </si>
  <si>
    <t>Official proceedings stated rate</t>
  </si>
  <si>
    <t>https://aclanthology.org/anthology-files/pdf/uncertainlp/2025.uncertainlp-main.pdf</t>
  </si>
  <si>
    <t>Proceedings preface reports 17 long and 10 short accepted papers and a 54% acceptance rate.</t>
  </si>
  <si>
    <t>IEEE CogMI 2026</t>
  </si>
  <si>
    <t>https://cogmi.ieee-cs.org/2026/call-for-papers/</t>
  </si>
  <si>
    <t>No defensible CogMI-specific recent rate found.</t>
  </si>
  <si>
    <t>No official acceptance percentage located.</t>
  </si>
  <si>
    <t>Derived from Springer proceedings counts</t>
  </si>
  <si>
    <t>https://link.springer.com/book/10.1007/978-3-032-13109-6</t>
  </si>
  <si>
    <t>18 full and 3 short papers selected from 52 submissions.</t>
  </si>
  <si>
    <t>Official PMLR proceedings stated rate</t>
  </si>
  <si>
    <t>Exact conference; older comparable edition</t>
  </si>
  <si>
    <t>https://proceedings.mlr.press/v231/villar24a/villar24a.pdf</t>
  </si>
  <si>
    <t>Latest clearly documented comparable rate found was 31.14% for LoG 2023.</t>
  </si>
  <si>
    <t>ICAART 2027</t>
  </si>
  <si>
    <t>https://icaart.scitevents.org/CallforPapers.aspx</t>
  </si>
  <si>
    <t>SCITEPRESS does not publish a current ICAART-wide acceptance rate on the reviewed CFP.</t>
  </si>
  <si>
    <t>SSR 2026</t>
  </si>
  <si>
    <t>https://ssresearch26.umbc.edu/call-for-papers/</t>
  </si>
  <si>
    <t>No recent exact symposium rate found.</t>
  </si>
  <si>
    <t>Discover Artificial Intelligence collection</t>
  </si>
  <si>
    <t>Not applicable / not disclosed</t>
  </si>
  <si>
    <t>Journal special collection</t>
  </si>
  <si>
    <t>https://link.springer.com/collections/gdifdjgjii</t>
  </si>
  <si>
    <t>A journal collection does not normally have a separately reported acceptance rate; first-decision time is not acceptance rate.</t>
  </si>
  <si>
    <t>Discover Computing collection</t>
  </si>
  <si>
    <t>https://link.springer.com/collections/cjcbjddcbb</t>
  </si>
  <si>
    <t>A journal collection does not normally have a separately reported acceptance rate.</t>
  </si>
  <si>
    <t>Official conference stated rate</t>
  </si>
  <si>
    <t>Exact prior edition, regular papers</t>
  </si>
  <si>
    <t>Official conference material reports an 18.4% regular-paper acceptance rate for 2025.</t>
  </si>
  <si>
    <t>No defensible recent NordSec-wide acceptance percentage found.</t>
  </si>
  <si>
    <t>No prior exact rate found</t>
  </si>
  <si>
    <t>https://rsc2026.github.io/</t>
  </si>
  <si>
    <t>No reliable historical acceptance statistics found.</t>
  </si>
  <si>
    <t>Parent conference proxy; not workshop-specific</t>
  </si>
  <si>
    <t>Medium</t>
  </si>
  <si>
    <t>https://link.springer.com/book/10.1007/978-981-95-5009-8</t>
  </si>
  <si>
    <t>52.7% is the overall IJCKG 2025 selection rate, not the KGE-LLM workshop rate.</t>
  </si>
  <si>
    <t>https://kicss-2026.aiat.or.th/</t>
  </si>
  <si>
    <t>No venue-wide recent acceptance rate found.</t>
  </si>
  <si>
    <t>ICISET 2026</t>
  </si>
  <si>
    <t>Selected-paper publication routes make a single acceptance percentage potentially misleading.</t>
  </si>
  <si>
    <t>First edition / no comparable prior edition found</t>
  </si>
  <si>
    <t>No historical statistics found.</t>
  </si>
  <si>
    <t>No reliable acceptance statistics found.</t>
  </si>
  <si>
    <t>Conflicting secondary figures—not used</t>
  </si>
  <si>
    <t>Prior edition data could not be verified consistently</t>
  </si>
  <si>
    <t>Low</t>
  </si>
  <si>
    <t>A secondary report gave internally inconsistent counts and percentage; no rate is presented until verified.</t>
  </si>
  <si>
    <t>No comparable full-paper rate</t>
  </si>
  <si>
    <t>Fall process is abstract-stage; full paper reviewed in 2027</t>
  </si>
  <si>
    <t>Abstract acceptance would not be comparable with full-paper acceptance.</t>
  </si>
  <si>
    <t>First edition / non-archival workshop</t>
  </si>
  <si>
    <t>Non-archival workshop; acceptance rate would not address the UALR publication requirement.</t>
  </si>
  <si>
    <t>First edition or no comparable prior rate found</t>
  </si>
  <si>
    <t>No historical acceptance rate found.</t>
  </si>
  <si>
    <t>Derived from CEUR proceedings counts</t>
  </si>
  <si>
    <t>https://ceur-ws.org/Vol-4079/</t>
  </si>
  <si>
    <t>CEUR proceedings report 15 accepted papers from 21 submissions.</t>
  </si>
  <si>
    <t>Accepted count only; denominator unavailable</t>
  </si>
  <si>
    <t>Exact prior workshop edition, incomplete</t>
  </si>
  <si>
    <t>https://aclanthology.org/venues/nlp4kgc/</t>
  </si>
  <si>
    <t>Five accepted papers were located, but no submission count was found; no percentage is calculated.</t>
  </si>
  <si>
    <t>Derived from CEUR proceedings preface</t>
  </si>
  <si>
    <t>https://ceur-ws.org/Vol-4064/kgnesy-preface.pdf</t>
  </si>
  <si>
    <t>Proceedings preface reports 9 submissions and 6 accepted papers.</t>
  </si>
  <si>
    <t>No prior-edition statistics found.</t>
  </si>
  <si>
    <t>No defensible submission and acceptance counts found.</t>
  </si>
  <si>
    <t>No exact workshop acceptance rate found.</t>
  </si>
  <si>
    <t>Do not substitute the ASE main-conference acceptance rate for the workshop.</t>
  </si>
  <si>
    <t>No exact prior workshop rate found</t>
  </si>
  <si>
    <t>No defensible rate found.</t>
  </si>
  <si>
    <t>Derived from joint CEUR workshop proceedings</t>
  </si>
  <si>
    <t>Joint XAI-KRKG + UCEX-XAI proxy; not exact 2026 workshop</t>
  </si>
  <si>
    <t>https://ceur-ws.org/Vol-4172/</t>
  </si>
  <si>
    <t>90.9% reflects the combined 2025 joint workshop volume, not an exact XAI+KG-only rate.</t>
  </si>
  <si>
    <t>No recent exact main-conference rate found</t>
  </si>
  <si>
    <t>No recent venue-wide acceptance percentage found on official pages reviewed.</t>
  </si>
  <si>
    <t>Interpretation notes</t>
  </si>
  <si>
    <t>Acceptance % meaning</t>
  </si>
  <si>
    <t>Historical observed rate, not the probability that GovernRAG will be accepted.</t>
  </si>
  <si>
    <t>Blank rate</t>
  </si>
  <si>
    <t>No defensible public percentage was found; this is not evidence that the venue is easier or harder.</t>
  </si>
  <si>
    <t>Proxy rate</t>
  </si>
  <si>
    <t>A parent-conference or joint-workshop figure is shown only when clearly labeled; it should not be used as the exact venue rate.</t>
  </si>
  <si>
    <t>First decision</t>
  </si>
  <si>
    <t>Journal first-decision time is not an acceptance rate and is not included in this column.</t>
  </si>
  <si>
    <t>Selectivity caveat</t>
  </si>
  <si>
    <t>Rates can change materially by year, track, paper category, and submission quality.</t>
  </si>
  <si>
    <t>Current status</t>
  </si>
  <si>
    <t>Venue profile</t>
  </si>
  <si>
    <t>Hard constraints</t>
  </si>
  <si>
    <t>Historical acceptance %</t>
  </si>
  <si>
    <t>Accepted</t>
  </si>
  <si>
    <t>Evidence class</t>
  </si>
  <si>
    <t>Evidence-adjusted acceptance %</t>
  </si>
  <si>
    <t>Acceptance opportunity (1-5)</t>
  </si>
  <si>
    <t>Sample confidence (1-5)</t>
  </si>
  <si>
    <t>Specialization alignment (1-5)</t>
  </si>
  <si>
    <t>Reliability / UALR (1-5)</t>
  </si>
  <si>
    <t>Timing (1-5)</t>
  </si>
  <si>
    <t>Recovery (1-5)</t>
  </si>
  <si>
    <t>Revised rank</t>
  </si>
  <si>
    <t>Reassessment</t>
  </si>
  <si>
    <t>Official / evidence source</t>
  </si>
  <si>
    <t>Direct specialist: structured RAG, KG, attribution</t>
  </si>
  <si>
    <t>PASS-CONDITIONAL</t>
  </si>
  <si>
    <t>Unknown established</t>
  </si>
  <si>
    <t>Strong specialist fit, but no public acceptance-rate evidence; keep below venues with both strong fit and measured selectivity.</t>
  </si>
  <si>
    <t>Archival EMNLP-affiliated workshop route; committee approval of workshop proceedings remains important.</t>
  </si>
  <si>
    <t>Generalist but aligned: data, software, KG, governance</t>
  </si>
  <si>
    <t>PASS</t>
  </si>
  <si>
    <t>Exact count</t>
  </si>
  <si>
    <t>Primary safest conventional option: stable 33% prior rate based on a large submission pool, broad fit, fixed September decision.</t>
  </si>
  <si>
    <t>https://icodse.org/call-for-papers-2026.html | https://stei.itb.ac.id/2025-ieee-icodse-held-in-batam-generative-ai-meets-data-and-software-engineering/</t>
  </si>
  <si>
    <t>Large denominator makes the selectivity signal substantially more reliable than small workshops.</t>
  </si>
  <si>
    <t>Open—extended</t>
  </si>
  <si>
    <t>Adjacent specialist: dependability, auditing, secure AI</t>
  </si>
  <si>
    <t>Strong reliable fallback, but unknown selectivity and security framing make it less predictable than ICoDSE.</t>
  </si>
  <si>
    <t>https://cyber-science.org/2026/dasc/</t>
  </si>
  <si>
    <t>Frame as an evidence-authorization reference monitor with auditability and compliance evidence.</t>
  </si>
  <si>
    <t>Open—Round 2</t>
  </si>
  <si>
    <t>Direct specialist: trust, privacy, access control, provenance</t>
  </si>
  <si>
    <t>Excellent topic fit and publication reliability, but unknown acceptance rate and later decision reduce graduation safety.</t>
  </si>
  <si>
    <t>Potentially demanding security/trust novelty expectations.</t>
  </si>
  <si>
    <t>General AI workshop</t>
  </si>
  <si>
    <t>Early decision is valuable, but 5/15 is a small and unstable sample; treat the apparent 33% rate cautiously.</t>
  </si>
  <si>
    <t>https://grupogemis.com.ar/icai/waai/2026/ | https://ceur-ws.org/Vol-4055/</t>
  </si>
  <si>
    <t>2025 exact workshop-level count is less stable than ICoDSE or KGSWC; 2026 CEUR publication should be confirmed.</t>
  </si>
  <si>
    <t>Direct specialist: GenAI security and governance</t>
  </si>
  <si>
    <t>First edition</t>
  </si>
  <si>
    <t>Strong topical wording and early decision, but first-edition uncertainty makes it inappropriate as the sole graduation-critical attempt.</t>
  </si>
  <si>
    <t>No historical submission or acceptance evidence.</t>
  </si>
  <si>
    <t>Direct specialist: uncertainty, selective prediction, evaluation</t>
  </si>
  <si>
    <t>Best acceptance-oriented specialist option: 54% over 50 submissions plus exact fit; notification date remains TBD.</t>
  </si>
  <si>
    <t>https://uncertainlp.github.io/ | https://aclanthology.org/2025.uncertainlp-main.0.pdf</t>
  </si>
  <si>
    <t>Use direct archival submission. Reciprocal-review eligibility and workshop committee approval must be addressed.</t>
  </si>
  <si>
    <t>Broad cognitive-machine intelligence</t>
  </si>
  <si>
    <t>Reliable IEEE route, but broader and less naturally aligned than the top specialist or data-engineering venues.</t>
  </si>
  <si>
    <t>No public acceptance-rate evidence located.</t>
  </si>
  <si>
    <t>Generalist ML and data science</t>
  </si>
  <si>
    <t>Good calendar, but unknown selectivity, compressed format and the broad AI-authoring prohibition materially increase risk.</t>
  </si>
  <si>
    <t>https://fmlds.org/2026/calls.php | https://fmlds.org/2026/submissions.php</t>
  </si>
  <si>
    <t>Do not submit unless the manuscript fully complies with the venue's AI-use policy.</t>
  </si>
  <si>
    <t>Direct specialist: KG, ontology, LLM and evaluation</t>
  </si>
  <si>
    <t>Strong acceptance-oriented candidate: 40.4% over 52 submissions and excellent fit; 2026 Springer publication must be confirmed.</t>
  </si>
  <si>
    <t>https://kgsw.org/call_for_paper.php | https://link.springer.com/book/10.1007/978-3-032-13109-6</t>
  </si>
  <si>
    <t>More stable evidence than WAAI because the denominator is larger.</t>
  </si>
  <si>
    <t>Specialist, but graph-learning rather than governance</t>
  </si>
  <si>
    <t>Stable 31.1% rate, but specialist mismatch: GovernRAG uses ontology/KG controls without a new graph-learning method.</t>
  </si>
  <si>
    <t>https://logconference.org/cfp/ | https://proceedings.mlr.press/v231/villar24a/villar24a.pdf</t>
  </si>
  <si>
    <t>High desk-review risk despite credible acceptance statistics.</t>
  </si>
  <si>
    <t>General AI conference</t>
  </si>
  <si>
    <t>Broad scope lowers topic-mismatch risk, but unknown selectivity and November notification make it a secondary route.</t>
  </si>
  <si>
    <t>Potential fallback rather than primary Fall protection.</t>
  </si>
  <si>
    <t>Adjacent specialist: security, safety and reliability</t>
  </si>
  <si>
    <t>Credible Springer route, but acceptance prospects depend on a convincing security or standards framing.</t>
  </si>
  <si>
    <t>Open collection</t>
  </si>
  <si>
    <t>Journal collection; LLM judge reliability</t>
  </si>
  <si>
    <t>Legitimate but not a safe primary route: fast first decision is not the same as final acceptance.</t>
  </si>
  <si>
    <t>Only F7 is a direct collection fit; final decision before November is uncertain.</t>
  </si>
  <si>
    <t>Journal collection; evaluator reliability and IR</t>
  </si>
  <si>
    <t>Legitimate backup, but requires substantial reframing toward LLM evaluation and has no fixed final acceptance date.</t>
  </si>
  <si>
    <t>Do not confuse median first decision with acceptance probability.</t>
  </si>
  <si>
    <t>Large generalist Big Data conference</t>
  </si>
  <si>
    <t>Official rate</t>
  </si>
  <si>
    <t>Low acceptance opportunity and late decision: retain only as a prestige-oriented option, not graduation protection.</t>
  </si>
  <si>
    <t>Official recent regular-paper rates are about 18%.</t>
  </si>
  <si>
    <t>Specialist security conference</t>
  </si>
  <si>
    <t>FAIL</t>
  </si>
  <si>
    <t>Excluded under the current hard constraints because no acceptable US/virtual/hybrid author route was verified.</t>
  </si>
  <si>
    <t>Do not rank despite strong publication reliability.</t>
  </si>
  <si>
    <t>Specialist reliable and secure computing</t>
  </si>
  <si>
    <t>Excluded under presentation-feasibility constraints despite a credible Springer CCIS route.</t>
  </si>
  <si>
    <t>No virtual/hybrid author route verified.</t>
  </si>
  <si>
    <t>Direct specialist: KG–LLM and GraphRAG</t>
  </si>
  <si>
    <t>Parent proxy</t>
  </si>
  <si>
    <t>The 52.7% figure is only a parent-conference proxy; publication and presentation conditions remain insufficiently verified.</t>
  </si>
  <si>
    <t>https://ijckg2026.aiat.or.th/ | https://link.springer.com/book/10.1007/978-981-95-5009-8</t>
  </si>
  <si>
    <t>Do not interpret the proxy as the workshop's own acceptance rate.</t>
  </si>
  <si>
    <t>Direct specialist: governance, RAG, KG and evaluation</t>
  </si>
  <si>
    <t>Excellent scope but excluded because the archival publisher and presentation mode remain unclear.</t>
  </si>
  <si>
    <t>Unknown acceptance statistics cannot offset publication uncertainty.</t>
  </si>
  <si>
    <t>Broad AI and security conference</t>
  </si>
  <si>
    <t>Excluded because the exact proceedings route varies and presentation feasibility was not verified.</t>
  </si>
  <si>
    <t>A selective-paper publication pathway is unsafe for a graduation dependency.</t>
  </si>
  <si>
    <t>Direct specialist: governance and sovereign AI</t>
  </si>
  <si>
    <t>Excluded because no qualifying archival proceedings and no historical acceptance evidence were verified.</t>
  </si>
  <si>
    <t>Topical fit alone is insufficient.</t>
  </si>
  <si>
    <t>Broad enterprise systems</t>
  </si>
  <si>
    <t>Excluded because of weak fit, late decision and unclear archival publication.</t>
  </si>
  <si>
    <t>Agentic and multi-agent AI</t>
  </si>
  <si>
    <t>Excluded for contribution mismatch: GovernRAG is not an agentic or multi-agent study.</t>
  </si>
  <si>
    <t>Open abstract call</t>
  </si>
  <si>
    <t>Trustworthy AI governance workshop</t>
  </si>
  <si>
    <t>Not comparable</t>
  </si>
  <si>
    <t>Excluded because the Fall decision is only for an abstract; full-paper acceptance occurs in 2027.</t>
  </si>
  <si>
    <t>Real-time multimodal conversational AI</t>
  </si>
  <si>
    <t>Excluded: non-archival and outside the paper's domain.</t>
  </si>
  <si>
    <t>Direct specialist: GraphRAG and trustworthy LLMs</t>
  </si>
  <si>
    <t>Scientifically attractive, but excluded under the current presentation-feasibility hard constraint.</t>
  </si>
  <si>
    <t>No verified virtual/hybrid author route.</t>
  </si>
  <si>
    <t>Reassessment method</t>
  </si>
  <si>
    <t>Acceptance-rate adjustment</t>
  </si>
  <si>
    <t>Exact counts are shrunk toward a 35% baseline using a Beta(7,13) prior. This prevents 6/9 or 5/15 from being treated as equally reliable as 90/273.</t>
  </si>
  <si>
    <t>Parent-conference figures are shrunk more aggressively toward 30% and are not treated as workshop-specific evidence.</t>
  </si>
  <si>
    <t>Unknown rates</t>
  </si>
  <si>
    <t>Established venues without a public rate receive a conservative 25% planning assumption; first editions receive 20%. These are ranking assumptions, not factual acceptance rates.</t>
  </si>
  <si>
    <t>Specialization</t>
  </si>
  <si>
    <t>Direct specialist venues score highest only when their CFP closely matches GovernRAG. Specialist mismatch is penalized more than a broad generalist venue.</t>
  </si>
  <si>
    <t>Weights</t>
  </si>
  <si>
    <t>Acceptance opportunity 25%; sample confidence 10%; specialization alignment 20%; reliability/UALR 20%; timing 15%; recovery 10%.</t>
  </si>
  <si>
    <t>Any venue marked FAIL receives a zero score regardless of topic fit or historical acceptance percentage.</t>
  </si>
  <si>
    <t>Acceptance opportunity</t>
  </si>
  <si>
    <t>Sample confidence</t>
  </si>
  <si>
    <t>Technical specialization fit</t>
  </si>
  <si>
    <t>AI governance relevance</t>
  </si>
  <si>
    <t>Governance topic classification</t>
  </si>
  <si>
    <t>Official governance-topic basis</t>
  </si>
  <si>
    <t>Professional networking value</t>
  </si>
  <si>
    <t>Reliability / UALR</t>
  </si>
  <si>
    <t>Timing</t>
  </si>
  <si>
    <t>Recovery</t>
  </si>
  <si>
    <t>Career-adjusted weighted score</t>
  </si>
  <si>
    <t>Revised recommendation</t>
  </si>
  <si>
    <t>Official / evidence sources</t>
  </si>
  <si>
    <t>Technical adjacency</t>
  </si>
  <si>
    <t>KG/structured-RAG community; no explicit 2026 AI-governance topic found.</t>
  </si>
  <si>
    <t>Strong adjacent</t>
  </si>
  <si>
    <t>Official CFP includes Data Governance, trustworthy/secure systems, explainable AI, ontologies and KGs.</t>
  </si>
  <si>
    <t>PRIMARY—best graduation-first balance; data-governance adjacency also supports your professional narrative.</t>
  </si>
  <si>
    <t>Dependability, trust, auditing/compliance and secure AI are relevant, but governance is not a central listed theme.</t>
  </si>
  <si>
    <t>Explicit</t>
  </si>
  <si>
    <t>Trust/privacy/security venue with explicit oversight and governance discussion for responsible AI.</t>
  </si>
  <si>
    <t>GOVERNANCE + TECHNICAL SHORTLIST—excellent fit and network, but selectivity is unknown and notification is later.</t>
  </si>
  <si>
    <t>Broad empirical AI and knowledge representation; no explicit AI-governance topic verified.</t>
  </si>
  <si>
    <t>EARLY-DECISION BACKUP—useful calendar, but small-sample rate and limited governance focus.</t>
  </si>
  <si>
    <t>Official track: Human–AI Collaboration, Socio-Technical Impacts &amp; Governance; includes compliance, accountability, audit trails and role clarity.</t>
  </si>
  <si>
    <t>HIGH NETWORK UPSIDE—best explicit governance track, but first-edition uncertainty prevents primary recommendation.</t>
  </si>
  <si>
    <t>Strong uncertainty/selective-prediction evaluation fit but no explicit governance track.</t>
  </si>
  <si>
    <t>ACCEPTANCE-ORIENTED ALTERNATIVE—strong measured selectivity and technical fit, but limited governance-network value.</t>
  </si>
  <si>
    <t>CFP explicitly lists responsible AI, accountability, governance and regulation, legal studies and public policy.</t>
  </si>
  <si>
    <t>GOVERNANCE/NETWORK SHORTLIST—explicit governance, regulation, accountability and industry/government audience.</t>
  </si>
  <si>
    <t>Limited adjacent</t>
  </si>
  <si>
    <t>Trustworthy/explainable AI is listed; governance appears only in a healthcare-specific special session.</t>
  </si>
  <si>
    <t>Strong KG/ontology/LLM fit, but no explicit AI-governance or accountability track verified.</t>
  </si>
  <si>
    <t>TECHNICAL/ACCEPTANCE SHORTLIST—good measured rate and fit; weaker governance network and publisher confirmation still required.</t>
  </si>
  <si>
    <t>Trustworthy graph ML, fairness and privacy are listed; governance is not central.</t>
  </si>
  <si>
    <t>CFP includes ethical issues, privacy, safety, security, transparency and interpretable AI.</t>
  </si>
  <si>
    <t>Explicit/standards</t>
  </si>
  <si>
    <t>Focuses on standards and best practices; lists AI safety/robustness, risk analysis and standardization management.</t>
  </si>
  <si>
    <t>STANDARDS-NETWORK SHORTLIST—excellent for ISO/NIST-aligned career networking; paper requires a stronger standards/security framing.</t>
  </si>
  <si>
    <t>Governance evidence adjacent</t>
  </si>
  <si>
    <t>LLM-judge reliability supports assurance and evidence, but the collection is not an AI-governance forum.</t>
  </si>
  <si>
    <t>Evaluator reliability and IR evaluation are relevant to assurance, not directly to AI governance.</t>
  </si>
  <si>
    <t>Explicit adjacent</t>
  </si>
  <si>
    <t>CFP explicitly includes compliance and governance, accountability, transparency, trust management and responsible datasets.</t>
  </si>
  <si>
    <t>CAREER-RELEVANT BUT HIGH-RISK—explicit governance topics and large network, but ~18% acceptance and late notification.</t>
  </si>
  <si>
    <t>Security, privacy and trustworthy AI are relevant; governance networking is secondary.</t>
  </si>
  <si>
    <t>Exclude under current hard constraints, regardless of governance relevance.</t>
  </si>
  <si>
    <t>Trustworthy/explainable AI, fairness, access control and verification; governance is not central.</t>
  </si>
  <si>
    <t>Governance infrastructure adjacent</t>
  </si>
  <si>
    <t>Standards, frameworks, provenance, trust and lifecycle management support governance architecture.</t>
  </si>
  <si>
    <t>Knowledge-governance adjacent</t>
  </si>
  <si>
    <t>Knowledge management, organizational learning, explainable AI and LLMs for knowledge management; no AI-governance track.</t>
  </si>
  <si>
    <t>Broad AI/security coverage; no explicit AI-governance topic verified.</t>
  </si>
  <si>
    <t>Governance, sovereignty, provenance and oversight are central, but archival publication remains unverified.</t>
  </si>
  <si>
    <t>Enterprise adjacent</t>
  </si>
  <si>
    <t>Enterprise AI and architecture are relevant professionally, but governance is not a verified central topic.</t>
  </si>
  <si>
    <t>Agent-governance adjacent</t>
  </si>
  <si>
    <t>Agentic/autonomous AI naturally raises governance and oversight, but the paper is not a multi-agent study.</t>
  </si>
  <si>
    <t>Trustworthy AI governance is central, but the Fall process does not deliver a qualifying full-paper acceptance.</t>
  </si>
  <si>
    <t>None</t>
  </si>
  <si>
    <t>Real-time multimodal conversational agents; non-archival and not governance-oriented.</t>
  </si>
  <si>
    <t>Trustworthy-AI adjacent</t>
  </si>
  <si>
    <t>Trustworthy LLMs, ontology grounding and enterprise KGs are governance-relevant, but governance is not explicit.</t>
  </si>
  <si>
    <t>Career-adjusted scoring model</t>
  </si>
  <si>
    <t>Objective</t>
  </si>
  <si>
    <t>Graduation success remains primary, but explicit AI-governance alignment and professional-network value are now included.</t>
  </si>
  <si>
    <t>Acceptance opportunity 20%; sample confidence 10%; technical fit 15%; AI governance relevance 15%; networking value 10%; reliability/UALR 15%; timing 10%; recovery 5%.</t>
  </si>
  <si>
    <t>AI governance relevance scale</t>
  </si>
  <si>
    <t>5 = explicit governance/regulation/compliance/accountability/standards; 4 = responsible/trustworthy AI with governance controls; 3 = data governance, ethics, provenance, transparency or risk; 2 = technical trust/security only; 1 = no meaningful relevance.</t>
  </si>
  <si>
    <t>Networking value scale</t>
  </si>
  <si>
    <t>5 = concentrated governance, public-policy, standards, industry/government or responsible-AI audience; 3 = adjacent technical/practitioner audience; 1 = little conference networking or no governance community.</t>
  </si>
  <si>
    <t>A failed hard constraint still produces a score of zero, even when the venue has excellent governance networking.</t>
  </si>
  <si>
    <t>GovernRAG — Verified Open Archival Venues</t>
  </si>
  <si>
    <t>Cutoff: 2026-07-24 (America/Chicago). Only direct, currently open, peer-reviewed archival routes with deadlines through 2026-08-31 are included. Risk score: 5 = safest/easiest; 1 = most selective.</t>
  </si>
  <si>
    <t>Rank</t>
  </si>
  <si>
    <t>Publisher</t>
  </si>
  <si>
    <t>Deadline</t>
  </si>
  <si>
    <t>Notification</t>
  </si>
  <si>
    <t>Fit</t>
  </si>
  <si>
    <t>Risk
(5=safest)</t>
  </si>
  <si>
    <t>Overall</t>
  </si>
  <si>
    <t>Deadline / Status</t>
  </si>
  <si>
    <t>One-line fit rationale</t>
  </si>
  <si>
    <t>Official CFP URL</t>
  </si>
  <si>
    <t>Verification notes</t>
  </si>
  <si>
    <t>AKBC 2026 @ EMNLP</t>
  </si>
  <si>
    <t>Archival workshop</t>
  </si>
  <si>
    <t>ACL workshop proceedings</t>
  </si>
  <si>
    <t>OPEN — direct submissions</t>
  </si>
  <si>
    <t>RAG over structured sources, attribution/verification, factuality, KG/ontology construction and benchmark evaluation span governance, evaluation, auditability and ontology areas.</t>
  </si>
  <si>
    <t>Direct research/vision paper route closes 2026-07-27; shared-task and ARR routes remain later.</t>
  </si>
  <si>
    <t>DocInsights 2026 @ EMNLP</t>
  </si>
  <si>
    <t>Evidence selection, RAG grounding/attribution, provenance, uncertainty-aware evaluation, ontologies, compliance, governance and auditability cover nearly the complete weighted profile.</t>
  </si>
  <si>
    <t>https://docinsights-workshop.github.io/docinsights-2026/call-for-papers/</t>
  </si>
  <si>
    <t>Double-blind, at least three reviews plus meta-review; archival workshop proceedings.</t>
  </si>
  <si>
    <t>PANDORA 2026 @ EMNLP</t>
  </si>
  <si>
    <t>Pluralism-aware LLM evaluation, calibration, uncertainty, abstention/deferral and governance/policy provide exceptional evaluation and risk-coverage fit, though RAG is not central.</t>
  </si>
  <si>
    <t>https://pandora-workshop.github.io/cfp</t>
  </si>
  <si>
    <t>Direct archival submission deadline 2026-07-31; ARR commitment route remains open later.</t>
  </si>
  <si>
    <t>Conference</t>
  </si>
  <si>
    <t>IEEE Xplore</t>
  </si>
  <si>
    <t>OPEN — updated deadline</t>
  </si>
  <si>
    <t>Data governance, ontologies/KGs, XAI, empirical software engineering, testing and verification provide a reliable systems-and-evaluation route for GovernRAG.</t>
  </si>
  <si>
    <t>https://icodse.org/call-for-papers-2026.html</t>
  </si>
  <si>
    <t>Official CFP updated 2026-07-23: deadline is 2026-08-07; double-blind review and IEEE Xplore publication.</t>
  </si>
  <si>
    <t>GLOW 2026 @ ISWC</t>
  </si>
  <si>
    <t>CEUR-WS</t>
  </si>
  <si>
    <t>OPEN — official extension; deadline today</t>
  </si>
  <si>
    <t>RAG/LLM grounding, trustworthy AI, ontology/KG evidence, factuality and reliability evaluation; strong 25% evaluation + 15% auditability + 10% ontology overlap.</t>
  </si>
  <si>
    <t>Official site states CEUR proceedings and Scopus indexing; deadline extended to 2026-07-24.</t>
  </si>
  <si>
    <t>Safer-TEA 2026</t>
  </si>
  <si>
    <t>Archival conference / late-breaking full paper</t>
  </si>
  <si>
    <t>Springer LNICST</t>
  </si>
  <si>
    <t>OPEN — late-breaking full-paper round</t>
  </si>
  <si>
    <t>Responsible data governance, AI assurance/auditing/risk, accountable deployment and trustworthy evaluation directly cover governance, evaluation and auditability.</t>
  </si>
  <si>
    <t>https://safertea.eai-conferences.org/2026/call-for-papers/</t>
  </si>
  <si>
    <t>Late-breaking full-paper deadline 2026-07-31; anonymized peer review and Springer LNICST proceedings.</t>
  </si>
  <si>
    <t>Wikidata Workshop 2026 @ ISWC</t>
  </si>
  <si>
    <t>OPEN — officially extended</t>
  </si>
  <si>
    <t>Data/knowledge governance, quality and validation, RAG grounding/fact verification, GenAI benchmarking, transparency and ontology modeling cover four weighted areas.</t>
  </si>
  <si>
    <t>https://wikidataworkshop.github.io/2026/</t>
  </si>
  <si>
    <t>Official deadline extension from 2026-07-24 to 2026-07-31; selected novel papers published in CEUR.</t>
  </si>
  <si>
    <t>OPEN — second round</t>
  </si>
  <si>
    <t>AI governance/regulation, safety/alignment/accountability, trust/transparency, benchmarking/evaluation, calibration, RAG, ontologies and KGs span all major GovernRAG areas.</t>
  </si>
  <si>
    <t>Round-2 deadline 2026-08-15; IEEE Computer Society conference with IEEE Xplore proceedings.</t>
  </si>
  <si>
    <t>IEEE DependSys 2026</t>
  </si>
  <si>
    <t>Dependability of LLMs, trust/safety metrics, levels and assessment criteria, authority, evaluation tools and frameworks strongly match governance and per-level risk evaluation.</t>
  </si>
  <si>
    <t>https://ieee-hyper-intelligence.org/2026/dependsys/</t>
  </si>
  <si>
    <t>Deadline extended to 2026-08-05; notification updated to 2026-09-15; IEEE Computer Society proceedings.</t>
  </si>
  <si>
    <t>Dependability, trustworthy AI, verification/testing, auditing/compliance and safe LLM systems cover governance, evaluation and auditability, with less direct RAG emphasis.</t>
  </si>
  <si>
    <t>Regular-paper deadline extended from 2026-07-15 to 2026-07-31; additional WIP/workshop routes remain later.</t>
  </si>
  <si>
    <t>UncertaiNLP 2026 @ EMNLP</t>
  </si>
  <si>
    <t>TBD</t>
  </si>
  <si>
    <t>Selective prediction, uncertainty, calibration, conformal methods, hallucination detection, RAG and LLM evaluation directly cover the 25% evaluation and 15% risk-coverage areas.</t>
  </si>
  <si>
    <t>https://uncertainlp.github.io/</t>
  </si>
  <si>
    <t>Direct archival papers are published in workshop proceedings; notification date remains TBD.</t>
  </si>
  <si>
    <t>PlurVA-LLM 2026 @ AACL</t>
  </si>
  <si>
    <t>OPEN — direct archival route</t>
  </si>
  <si>
    <t>LLM value alignment, safety, benchmarks/evaluation and interpretability support governance and evaluation, but evidence authorization, RAG and provenance are not core topics.</t>
  </si>
  <si>
    <t>https://plurvallm2026.github.io/</t>
  </si>
  <si>
    <t>Official AACL-affiliated workshop accepting archival and non-archival papers.</t>
  </si>
  <si>
    <t>WaC-13 2026 @ EMNLP</t>
  </si>
  <si>
    <t>ACL Anthology</t>
  </si>
  <si>
    <t>Web-corpus data quality, evaluation methodology and ethical/legal data governance match benchmarking and governance, but not selective prediction or authorization-gated RAG directly.</t>
  </si>
  <si>
    <t>https://wackyworkshop.org/</t>
  </si>
  <si>
    <t>Archival papers are published in the ACL Anthology.</t>
  </si>
  <si>
    <t>Trust, privacy, security, responsible AI, governance and oversight align with governance/auditability, though the CFP is less explicit on RAG evaluation and abstention.</t>
  </si>
  <si>
    <t>Second-round submissions open through 2026-08-15; accepted papers planned for IEEE Xplore.</t>
  </si>
  <si>
    <t>KG-NeSy 2026 @ ISWC</t>
  </si>
  <si>
    <t>OPEN — deadline today</t>
  </si>
  <si>
    <t>Knowledge graphs/ontologies plus trustworthy, explainable, certifiable and auditable AI; ontology-centric scope triggers the 3/5 fit cap.</t>
  </si>
  <si>
    <t>Single-blind review by at least two reviewers; accepted papers planned for CEUR proceedings.</t>
  </si>
  <si>
    <t>OPEN</t>
  </si>
  <si>
    <t>AI security, identity/access management, audit, security metrics, trust, transparency and accountability cover governance and auditability, with weaker RAG/evaluation specificity.</t>
  </si>
  <si>
    <t>Double-blind, at least three reviewers; Springer LNCS proceedings.</t>
  </si>
  <si>
    <t>Data/AI governance, compliance, accountability, transparency, trustworthy foundation-model operations and benchmarking match the profile, but competition is severe.</t>
  </si>
  <si>
    <t>Single-blind IEEE proceedings; official recent acceptance rates are approximately 18%, making this the highest-risk option.</t>
  </si>
  <si>
    <t>Audit of the Original 27-Venue Longlist</t>
  </si>
  <si>
    <t>Every seed venue was re-checked against the current deadline window, direct-submission eligibility, archival publication commitment, topic fit and organizer/publisher reliability.</t>
  </si>
  <si>
    <t>Seed venue</t>
  </si>
  <si>
    <t>Verified status</t>
  </si>
  <si>
    <t>Change from prior workbook</t>
  </si>
  <si>
    <t>Hard-constraint result</t>
  </si>
  <si>
    <t>Reason</t>
  </si>
  <si>
    <t>Official URL</t>
  </si>
  <si>
    <t>OPEN — PASS</t>
  </si>
  <si>
    <t>Upgrade: direct archival route confirmed</t>
  </si>
  <si>
    <t>Excellent cross-area fit and explicit workshop proceedings.</t>
  </si>
  <si>
    <t>Deadline changed to Aug 7; CFP updated Jul 23</t>
  </si>
  <si>
    <t>IEEE Xplore, double-blind; data governance, ontology, XAI and empirical evaluation.</t>
  </si>
  <si>
    <t>Official extension to Jul 31</t>
  </si>
  <si>
    <t>IEEE archival dependability/trust/verification venue.</t>
  </si>
  <si>
    <t>Second round confirmed open</t>
  </si>
  <si>
    <t>IEEE trust/privacy/security and responsible-AI scope.</t>
  </si>
  <si>
    <t>OPEN — CONDITIONAL</t>
  </si>
  <si>
    <t>Publication commitment remains unclear</t>
  </si>
  <si>
    <t>CONDITIONAL</t>
  </si>
  <si>
    <t>Historical CEUR evidence is insufficient without a 2026 commitment.</t>
  </si>
  <si>
    <t>Downgrade pending independent IEEE verification</t>
  </si>
  <si>
    <t>Strong fit, but first-edition organizer/publisher verification risk.</t>
  </si>
  <si>
    <t>Notification still TBD</t>
  </si>
  <si>
    <t>Archival ACL workshop with direct uncertainty, abstention and RAG fit.</t>
  </si>
  <si>
    <t>Best broad-conference topic overlap across governance, evaluation, RAG and ontologies.</t>
  </si>
  <si>
    <t>Publisher/review evidence remains weak</t>
  </si>
  <si>
    <t>Broad ML scope and insufficient archival assurance.</t>
  </si>
  <si>
    <t>https://fmlds.org/</t>
  </si>
  <si>
    <t>Springer publication is only planned</t>
  </si>
  <si>
    <t>KG-only emphasis caps fit; archival commitment not final.</t>
  </si>
  <si>
    <t>REJECT</t>
  </si>
  <si>
    <t>Scope mismatch confirmed</t>
  </si>
  <si>
    <t>Graph-learning-centered venue is a hard mismatch under the research-area rule.</t>
  </si>
  <si>
    <t>https://logconference.org/</t>
  </si>
  <si>
    <t>Deadline outside Aug 31 window</t>
  </si>
  <si>
    <t>Submission deadline is after the hard window.</t>
  </si>
  <si>
    <t>https://icaart.scitevents.org/</t>
  </si>
  <si>
    <t>Official deadline is Sep 15</t>
  </si>
  <si>
    <t>https://ssr2026.github.io/</t>
  </si>
  <si>
    <t>Discover Artificial Intelligence</t>
  </si>
  <si>
    <t>Journal, not a conference</t>
  </si>
  <si>
    <t>Does not meet the user’s conference-only requirement.</t>
  </si>
  <si>
    <t>https://link.springer.com/journal/44163</t>
  </si>
  <si>
    <t>Discover Computing</t>
  </si>
  <si>
    <t>https://link.springer.com/journal/10791</t>
  </si>
  <si>
    <t>Pass retained; risk increased</t>
  </si>
  <si>
    <t>Archival and topical, but official ~18% acceptance rate makes it a reach.</t>
  </si>
  <si>
    <t>Corrected from prior fail to pass</t>
  </si>
  <si>
    <t>Current hard constraints do not require a remote-presentation route; Springer LNCS confirmed.</t>
  </si>
  <si>
    <t>RSC 2026</t>
  </si>
  <si>
    <t>Named archival outlet not confirmed</t>
  </si>
  <si>
    <t>Springer formatting alone is not a publication commitment.</t>
  </si>
  <si>
    <t>https://rsc-conference.org/</t>
  </si>
  <si>
    <t>Abstract gate passed; publisher unclear</t>
  </si>
  <si>
    <t>Use only if already registered and publisher is confirmed.</t>
  </si>
  <si>
    <t>Publisher remains unspecified</t>
  </si>
  <si>
    <t>Review process is stated but qualifying archival outlet is not.</t>
  </si>
  <si>
    <t>https://kicss2026.org/</t>
  </si>
  <si>
    <t>Variable/selected publication route</t>
  </si>
  <si>
    <t>Not every accepted paper is guaranteed a qualifying archival proceeding.</t>
  </si>
  <si>
    <t>https://iciset.org/</t>
  </si>
  <si>
    <t>No qualifying archival proceedings</t>
  </si>
  <si>
    <t>Strong governance theme but fails the archival publication constraint.</t>
  </si>
  <si>
    <t>https://sovereignai-conference.org/</t>
  </si>
  <si>
    <t>Publisher/review legitimacy not established</t>
  </si>
  <si>
    <t>Insufficient evidence of a qualifying archival, peer-reviewed outlet.</t>
  </si>
  <si>
    <t>Scope mismatch</t>
  </si>
  <si>
    <t>Agentic/multi-agent venue without sufficient governance/evaluation overlap.</t>
  </si>
  <si>
    <t>https://ica-conference.org/</t>
  </si>
  <si>
    <t>Full publication timing falls in 2027</t>
  </si>
  <si>
    <t>Does not provide an open qualifying 2026 archival full-paper route.</t>
  </si>
  <si>
    <t>RTCA 2026</t>
  </si>
  <si>
    <t>Non-archival and real-time/multimodal mismatch</t>
  </si>
  <si>
    <t>Fails both publication and scope constraints.</t>
  </si>
  <si>
    <t>GLOW 2026</t>
  </si>
  <si>
    <t>Corrected from prior fail; official extension found</t>
  </si>
  <si>
    <t>CEUR archival workshop with strong RAG grounding/trust/ontology fit.</t>
  </si>
  <si>
    <t>Conditional and Recovery Venues</t>
  </si>
  <si>
    <t>These venues are relevant but fail at least one current hard-pass condition: a missed prerequisite, eligibility-limited route, unclear archival commitment, or organizer/publisher verification gap.</t>
  </si>
  <si>
    <t>Eligibility / issue</t>
  </si>
  <si>
    <t>Potential fit</t>
  </si>
  <si>
    <t>Why not a hard pass</t>
  </si>
  <si>
    <t>Required action</t>
  </si>
  <si>
    <t>First edition. Official site claims IEEE/Xplore, but independent IEEE conference-record confirmation was not located.</t>
  </si>
  <si>
    <t>Submit only after confirming the IEEE conference record, catalog number, review chairs, and prior/host institution legitimacy.</t>
  </si>
  <si>
    <t>RAGE-KG 2026 @ ISWC</t>
  </si>
  <si>
    <t>Abstract-registration gate</t>
  </si>
  <si>
    <t>Full-paper deadline is open today, but the mandatory abstract-registration deadline was 2026-07-17; CEUR publication is stated as submitted/planned.</t>
  </si>
  <si>
    <t>Use only if an abstract was already registered and obtain confirmation of CEUR proceedings.</t>
  </si>
  <si>
    <t>NLP4KGC 2026 @ ISWC</t>
  </si>
  <si>
    <t>Ontology/KG-centric venue and mandatory abstract registration already passed; fit is capped at 3.</t>
  </si>
  <si>
    <t>Use only if an abstract was registered before the gate.</t>
  </si>
  <si>
    <t>https://nlp4kgc.github.io/</t>
  </si>
  <si>
    <t>IJCKG 2026</t>
  </si>
  <si>
    <t>Abstract gate / publisher unclear</t>
  </si>
  <si>
    <t>Main-paper abstract deadline passed and the current proceedings publisher/series is not clearly committed on the official page.</t>
  </si>
  <si>
    <t>Consider only if already registered; verify the 2026 archival publisher before submission.</t>
  </si>
  <si>
    <t>X-TAIL 2026 @ EKAW</t>
  </si>
  <si>
    <t>Proceedings commitment unclear</t>
  </si>
  <si>
    <t>Strong RAG/KG and evaluation themes, but the official 2026 page does not clearly guarantee the final archival proceedings outlet.</t>
  </si>
  <si>
    <t>Ask organizers for written confirmation of CEUR publication before treating it as qualifying.</t>
  </si>
  <si>
    <t>WITS 2026</t>
  </si>
  <si>
    <t>Current archival outlet not explicit</t>
  </si>
  <si>
    <t>Excellent AI governance, trustworthy AI, LLM and artifact-evaluation fit; current CFP does not explicitly state a named archival outlet.</t>
  </si>
  <si>
    <t>Request written proceedings confirmation; retain as a strong fallback if confirmed.</t>
  </si>
  <si>
    <t>https://witsconf.org/</t>
  </si>
  <si>
    <t>Planned publication only</t>
  </si>
  <si>
    <t>Official CFP says Springer LNCS publication is planned rather than confirmed; KG-centered scope caps fit at 3.</t>
  </si>
  <si>
    <t>Use only after Springer volume/contract confirmation.</t>
  </si>
  <si>
    <t>Archival commitment unclear</t>
  </si>
  <si>
    <t>CEUR format and historical proceedings exist, but the current CFP does not unambiguously guarantee archival publication.</t>
  </si>
  <si>
    <t>Verify 2026 CEUR volume commitment before submission.</t>
  </si>
  <si>
    <t>Publisher/review evidence weak</t>
  </si>
  <si>
    <t>Broad ML/data-science scope and insufficient official evidence of a stable archival publisher and review standard.</t>
  </si>
  <si>
    <t>Do not prioritize unless the organizer supplies verifiable proceedings and committee details.</t>
  </si>
  <si>
    <t>Proceedings outlet not committed</t>
  </si>
  <si>
    <t>Uses Springer formatting but does not clearly commit accepted papers to a named archival series.</t>
  </si>
  <si>
    <t>Treat as non-qualifying until publication is confirmed.</t>
  </si>
  <si>
    <t>Publisher unspecified</t>
  </si>
  <si>
    <t>Double-blind review is stated, but the official CFP does not name a qualifying proceedings publisher.</t>
  </si>
  <si>
    <t>Request publisher/ISBN/indexing confirmation before considering.</t>
  </si>
  <si>
    <t>JCDL 2026 Doctoral Consortium</t>
  </si>
  <si>
    <t>Not a full research-paper route</t>
  </si>
  <si>
    <t>Archival and reliable, but limited to a short single-author doctoral consortium submission rather than the full experimental paper.</t>
  </si>
  <si>
    <t>Use as a doctoral visibility/recovery route, not as the primary full-paper publication.</t>
  </si>
  <si>
    <t>https://2026.jcdl.org/call-for-doctoral-consortium/</t>
  </si>
  <si>
    <t>SESAME 2026 @ JCDL</t>
  </si>
  <si>
    <t>Proceedings unclear</t>
  </si>
  <si>
    <t>Relevant semantic and evaluation themes, but the final archival publication commitment is not explicit.</t>
  </si>
  <si>
    <t>Confirm CEUR/ACM publication before submission.</t>
  </si>
  <si>
    <t>https://sesame-workshop.github.io/</t>
  </si>
  <si>
    <t>GroundLM 2026 @ EMNLP</t>
  </si>
  <si>
    <t>Eligibility-limited fast track</t>
  </si>
  <si>
    <t>Excellent RAG/grounding fit, but the direct submission deadline is closed; fast track is limited to eligible pre-reviewed/rejected manuscripts.</t>
  </si>
  <si>
    <t>Use only if the manuscript has qualifying ARR or prior reviews.</t>
  </si>
  <si>
    <t>https://groundlm.github.io/</t>
  </si>
  <si>
    <t>BlackboxNLP 2026 @ EMNLP</t>
  </si>
  <si>
    <t>ARR-only remaining route</t>
  </si>
  <si>
    <t>Direct submissions are closed; remaining commitment route requires an already reviewed ARR submission.</t>
  </si>
  <si>
    <t>Use only if a qualifying ARR review exists.</t>
  </si>
  <si>
    <t>https://blackboxnlp.github.io/</t>
  </si>
  <si>
    <t>EMNLP 2026 Main Conference</t>
  </si>
  <si>
    <t>ARR commitment only</t>
  </si>
  <si>
    <t>The May ARR submission deadline has passed; August is only a commitment deadline for already reviewed ARR papers.</t>
  </si>
  <si>
    <t>Not available for a new unreviewed manuscript.</t>
  </si>
  <si>
    <t>https://2026.emnlp.org/calls/main-conference-papers/</t>
  </si>
  <si>
    <t>AACL 2026 Main Conference</t>
  </si>
  <si>
    <t>The ARR review submission deadline has passed; the open commitment stage is not a fresh submission route.</t>
  </si>
  <si>
    <t>https://2026.aacl.org/calls/main_conference_papers/</t>
  </si>
  <si>
    <t>AAAI-27 Main Technical Track</t>
  </si>
  <si>
    <t>Full-paper deadline remains, but mandatory abstract registration closed on 2026-07-21.</t>
  </si>
  <si>
    <t>Use only if the abstract was already registered.</t>
  </si>
  <si>
    <t>https://aaai.org/conference/aaai/aaai-27/</t>
  </si>
  <si>
    <t>Sci-K 2026 @ ISWC</t>
  </si>
  <si>
    <t>Proceedings confirmation needed</t>
  </si>
  <si>
    <t>Scientific-knowledge domain is peripheral and current archival publication wording needs confirmation.</t>
  </si>
  <si>
    <t>Only consider if the dissertation committee accepts the proceedings and organizers confirm publication.</t>
  </si>
  <si>
    <t>https://sci-k.github.io/</t>
  </si>
  <si>
    <t>Top Five Submission Recommendations</t>
  </si>
  <si>
    <t>Recommended strategy balances paper fit, venue legitimacy, acceptance risk, notification timing and recovery options—not prestige alone.</t>
  </si>
  <si>
    <t>Priority</t>
  </si>
  <si>
    <t>Primary reason</t>
  </si>
  <si>
    <t>Main caveat</t>
  </si>
  <si>
    <t>Recommended action</t>
  </si>
  <si>
    <t>Official CFP</t>
  </si>
  <si>
    <t>Closest full-profile match: evidence authorization/selection, grounding, attribution, provenance, uncertainty evaluation, governance, compliance and auditability.</t>
  </si>
  <si>
    <t>Workshop is new, although EMNLP proceedings and review process are explicit.</t>
  </si>
  <si>
    <t>Prepare this as the primary target; frame GovernRAG as governed document evidence and risk-coverage evaluation.</t>
  </si>
  <si>
    <t>Best established RAG + structured knowledge + attribution/factuality + evaluation venue, with explicit archival proceedings.</t>
  </si>
  <si>
    <t>Highly topical audience may scrutinize novelty beyond ontology use.</t>
  </si>
  <si>
    <t>Use the governance gate as the knowledge-admission contribution, not as a generic KG paper.</t>
  </si>
  <si>
    <t>Best broad archival conference match across AI governance, safety/accountability, calibration, benchmarking, RAG and ontologies.</t>
  </si>
  <si>
    <t>Broader and likely more competitive than specialized workshops.</t>
  </si>
  <si>
    <t>Retain as the strongest full-conference route after the EMNLP workshop submissions.</t>
  </si>
  <si>
    <t>Exceptional fit to risk-coverage, calibration, uncertainty, abstention/deferral and governance-oriented LLM evaluation.</t>
  </si>
  <si>
    <t>RAG evidence authorization and provenance are not central CFP topics.</t>
  </si>
  <si>
    <t>Lead with tunable refusal and the measured risk-coverage frontier.</t>
  </si>
  <si>
    <t>Reliable and relatively safer IEEE route combining data governance, ontology/KG, XAI, empirical evaluation, verification and software engineering.</t>
  </si>
  <si>
    <t>Governance is supplemental rather than the conference’s core identity.</t>
  </si>
  <si>
    <t>Use as the practical low-regret full-conference fallback.</t>
  </si>
  <si>
    <t>Scoring Method, Hard Constraints and Interpretation</t>
  </si>
  <si>
    <t>This sheet makes the ranking reproducible and distinguishes venue fit from publication reliability and submission safety.</t>
  </si>
  <si>
    <t>Research-area component</t>
  </si>
  <si>
    <t>Interpretation</t>
  </si>
  <si>
    <t>AI governance for RAG/LLM systems</t>
  </si>
  <si>
    <t>Evidence authorization, tunable policy, reference-monitor or enforcement controls.</t>
  </si>
  <si>
    <t>Evaluation &amp; benchmarking methodology</t>
  </si>
  <si>
    <t>Pre-registration, metrics, benchmarks, LLM judges, robustness and reproducibility.</t>
  </si>
  <si>
    <t>Selective prediction / abstention</t>
  </si>
  <si>
    <t>Risk-coverage trade-offs, refusal, deferral, calibration and uncertainty.</t>
  </si>
  <si>
    <t>Auditability &amp; provenance</t>
  </si>
  <si>
    <t>Traceability, attribution, evidence lineage, accountability and trustworthy AI.</t>
  </si>
  <si>
    <t>Knowledge graphs &amp; ontologies</t>
  </si>
  <si>
    <t>Ontology as an instrument; KG-only venues are capped at Fit 3/5.</t>
  </si>
  <si>
    <t>Systems &amp; cost engineering</t>
  </si>
  <si>
    <t>Deployment, efficiency, cost, operational constraints and engineering validation.</t>
  </si>
  <si>
    <t>Score</t>
  </si>
  <si>
    <t>Risk (5=safest)</t>
  </si>
  <si>
    <t>Meaning</t>
  </si>
  <si>
    <t>CFP directly spans most weighted areas</t>
  </si>
  <si>
    <t>Established archival venue; explicit review/publication</t>
  </si>
  <si>
    <t>Safer/specialized or historically higher acceptance</t>
  </si>
  <si>
    <t>Fast decision and multiple reusable routes</t>
  </si>
  <si>
    <t>Notification by early September</t>
  </si>
  <si>
    <t>Strong</t>
  </si>
  <si>
    <t>Strong match across 3–4 weighted areas</t>
  </si>
  <si>
    <t>Clear publisher and review process</t>
  </si>
  <si>
    <t>Moderate acceptance risk</t>
  </si>
  <si>
    <t>Good fallback/reformatting value</t>
  </si>
  <si>
    <t>Notification by late September</t>
  </si>
  <si>
    <t>Good</t>
  </si>
  <si>
    <t>Partial match; or ontology-only cap</t>
  </si>
  <si>
    <t>Generally credible but some uncertainty</t>
  </si>
  <si>
    <t>Balanced risk</t>
  </si>
  <si>
    <t>Usable fallback</t>
  </si>
  <si>
    <t>Notification by October</t>
  </si>
  <si>
    <t>Moderate</t>
  </si>
  <si>
    <t>Peripheral fit</t>
  </si>
  <si>
    <t>Material verification gap</t>
  </si>
  <si>
    <t>Selective/high risk</t>
  </si>
  <si>
    <t>Limited recovery value</t>
  </si>
  <si>
    <t>Late or unclear notification</t>
  </si>
  <si>
    <t>Weak</t>
  </si>
  <si>
    <t>Mismatch</t>
  </si>
  <si>
    <t>Unreliable/unverified</t>
  </si>
  <si>
    <t>Very selective</t>
  </si>
  <si>
    <t>Little recovery value</t>
  </si>
  <si>
    <t>Too late</t>
  </si>
  <si>
    <t>Poor</t>
  </si>
  <si>
    <t>Hard constraint</t>
  </si>
  <si>
    <t>Rule applied</t>
  </si>
  <si>
    <t>Archival peer review</t>
  </si>
  <si>
    <t>Only IEEE, ACM, Springer LNCS/LNICST, CEUR, ACL Anthology/proceedings or equivalent explicit archival routes pass.</t>
  </si>
  <si>
    <t>Deadline window</t>
  </si>
  <si>
    <t>Official deadline must be open on 2026-07-24 and no later than 2026-08-31.</t>
  </si>
  <si>
    <t>Fresh eligibility</t>
  </si>
  <si>
    <t>A commitment date does not count when the prerequisite ARR/abstract deadline has passed.</t>
  </si>
  <si>
    <t>Topic mismatch rejection</t>
  </si>
  <si>
    <t>Graph learning, multimedia, networking, real-time systems and domain-specific medical/legal venues are excluded regardless of keyword overlap.</t>
  </si>
  <si>
    <t>Overall score</t>
  </si>
  <si>
    <t>0.35×Fit + 0.20×Reliability + 0.15×Risk + 0.15×Recovery + 0.15×Timing.</t>
  </si>
  <si>
    <t>Submission Deadline Dashboard</t>
  </si>
  <si>
    <t>Use this as the working sequence. Deadline urgency is separated from overall recommendation quality.</t>
  </si>
  <si>
    <t>Sequence</t>
  </si>
  <si>
    <t>Days from cutoff</t>
  </si>
  <si>
    <t>Urgency</t>
  </si>
  <si>
    <t>Submission framing</t>
  </si>
  <si>
    <t>TODAY</t>
  </si>
  <si>
    <t>Grounded RAG, ontology-backed evidence and reliability evaluation.</t>
  </si>
  <si>
    <t>Ontology-mediated trustworthy/auditable AI; accept fit cap.</t>
  </si>
  <si>
    <t>≤ 7 days</t>
  </si>
  <si>
    <t>Authorized structured evidence, attribution and factuality.</t>
  </si>
  <si>
    <t>Refusal, abstention and risk-coverage frontier.</t>
  </si>
  <si>
    <t>AI assurance, governance controls and audit evidence.</t>
  </si>
  <si>
    <t>Knowledge governance, quality, grounding and verification.</t>
  </si>
  <si>
    <t>Dependability and verification of policy-bounded RAG.</t>
  </si>
  <si>
    <t>≤ 14 days</t>
  </si>
  <si>
    <t>Evidence governance, attribution, provenance and compliance.</t>
  </si>
  <si>
    <t>Per-level trust/safety evaluation and authority boundaries.</t>
  </si>
  <si>
    <t>Empirical software evaluation of data-governed RAG.</t>
  </si>
  <si>
    <t>Selective answering, calibration and risk coverage.</t>
  </si>
  <si>
    <t>Web evidence quality and governance methodology.</t>
  </si>
  <si>
    <t>Later</t>
  </si>
  <si>
    <t>Governance, RAG, benchmarking, calibration and ontology.</t>
  </si>
  <si>
    <t>Policy/value alignment and trustworthy evaluation.</t>
  </si>
  <si>
    <t>Trustworthy system governance and oversight.</t>
  </si>
  <si>
    <t>Authorization, auditability and security assurance.</t>
  </si>
  <si>
    <t>Governance and benchmark methodology; reach submission.</t>
  </si>
  <si>
    <t>Operational AI Assurance collection, Fit 4.5/5, deadline December 25, 2026.</t>
  </si>
  <si>
    <t>Column1</t>
  </si>
  <si>
    <t>1. Trustworthy and Explainable Intelligent Systems for Real-World Computing
Deadline: November 20, 2026
2. Reliable and Efficient Large Language Models for NLP Applications
Deadline: March 20, 2027
3. Advances in Knowledge-Driven Artificial Intelligence
Deadline: February 28, 2027
4. Software Quality Assurance and Optimization in an Age of Intelligence
Deadline: September 30, 2026</t>
  </si>
  <si>
    <t>https://icies-conf.inf.elte.hu/content/call-for-papers.t.53028?m=11087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</si>
</sst>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i/>
      <sz val="11"/>
      <color rgb="FF183153"/>
      <name val="Carlito"/>
    </font>
    <font>
      <b/>
      <sz val="16"/>
      <color rgb="FFFFFFFF"/>
      <name val="Carlito"/>
    </font>
    <font>
      <i/>
      <sz val="10"/>
      <color rgb="FF1F2937"/>
      <name val="Carlito"/>
    </font>
    <font>
      <sz val="11"/>
      <color rgb="FFFFFF00"/>
      <name val="Carlito"/>
    </font>
    <font>
      <u/>
      <sz val="11"/>
      <color theme="10"/>
      <name val="Carlito"/>
    </font>
  </fonts>
  <fills count="21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DCE6F1"/>
      </patternFill>
    </fill>
    <fill>
      <patternFill patternType="solid">
        <fgColor rgb="FF183153"/>
      </patternFill>
    </fill>
    <fill>
      <patternFill patternType="solid">
        <fgColor rgb="FFE8EEF7"/>
      </patternFill>
    </fill>
    <fill>
      <patternFill patternType="solid">
        <fgColor rgb="FF183153"/>
      </patternFill>
    </fill>
    <fill>
      <patternFill patternType="solid">
        <fgColor rgb="FF183153"/>
      </patternFill>
    </fill>
    <fill>
      <patternFill patternType="solid">
        <fgColor rgb="FF183153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2" fillId="3" borderId="0" xfId="0" applyFont="1" applyFill="1" applyAlignment="1">
      <alignment wrapText="1"/>
    </xf>
    <xf numFmtId="9" fontId="0" fillId="0" borderId="0" xfId="0" applyNumberFormat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65" fontId="0" fillId="0" borderId="0" xfId="0" applyNumberFormat="1" applyAlignment="1">
      <alignment wrapText="1"/>
    </xf>
    <xf numFmtId="0" fontId="1" fillId="7" borderId="0" xfId="0" applyFont="1" applyFill="1" applyAlignment="1">
      <alignment horizontal="center" vertical="center" wrapText="1"/>
    </xf>
    <xf numFmtId="166" fontId="0" fillId="0" borderId="0" xfId="0" applyNumberFormat="1" applyAlignment="1">
      <alignment wrapText="1"/>
    </xf>
    <xf numFmtId="0" fontId="1" fillId="8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 wrapText="1"/>
    </xf>
    <xf numFmtId="0" fontId="3" fillId="5" borderId="0" xfId="0" applyFont="1" applyFill="1" applyAlignment="1">
      <alignment wrapText="1"/>
    </xf>
    <xf numFmtId="0" fontId="0" fillId="0" borderId="0" xfId="0"/>
    <xf numFmtId="0" fontId="4" fillId="9" borderId="0" xfId="0" applyFont="1" applyFill="1" applyAlignment="1">
      <alignment horizontal="left" vertical="center"/>
    </xf>
    <xf numFmtId="0" fontId="5" fillId="10" borderId="0" xfId="0" applyFont="1" applyFill="1" applyAlignment="1">
      <alignment wrapText="1"/>
    </xf>
    <xf numFmtId="0" fontId="0" fillId="12" borderId="0" xfId="0" applyFill="1" applyAlignment="1">
      <alignment vertical="top" wrapText="1"/>
    </xf>
    <xf numFmtId="0" fontId="0" fillId="13" borderId="0" xfId="0" applyFill="1" applyAlignment="1">
      <alignment vertical="top" wrapText="1"/>
    </xf>
    <xf numFmtId="0" fontId="0" fillId="14" borderId="0" xfId="0" applyFill="1" applyAlignment="1">
      <alignment vertical="top" wrapText="1"/>
    </xf>
    <xf numFmtId="0" fontId="6" fillId="14" borderId="0" xfId="0" applyFont="1" applyFill="1" applyAlignment="1">
      <alignment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vertical="top" wrapText="1"/>
    </xf>
    <xf numFmtId="0" fontId="0" fillId="17" borderId="0" xfId="0" applyFill="1" applyAlignment="1">
      <alignment vertical="top" wrapText="1"/>
    </xf>
    <xf numFmtId="0" fontId="0" fillId="18" borderId="0" xfId="0" applyFill="1" applyAlignment="1">
      <alignment vertical="top" wrapText="1"/>
    </xf>
    <xf numFmtId="0" fontId="0" fillId="19" borderId="0" xfId="0" applyFill="1" applyAlignment="1">
      <alignment vertical="top" wrapText="1"/>
    </xf>
    <xf numFmtId="0" fontId="7" fillId="0" borderId="0" xfId="1" applyAlignment="1">
      <alignment vertical="top" wrapText="1"/>
    </xf>
    <xf numFmtId="0" fontId="0" fillId="20" borderId="0" xfId="0" applyFill="1" applyAlignment="1">
      <alignment vertical="top" wrapText="1"/>
    </xf>
  </cellXfs>
  <cellStyles count="2">
    <cellStyle name="Hyperlink" xfId="1" builtinId="8"/>
    <cellStyle name="Normal" xfId="0" builtinId="0"/>
  </cellStyles>
  <dxfs count="25"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 patternType="solid">
          <bgColor rgb="FFF4CCCC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EE2E2"/>
        </patternFill>
      </fill>
    </dxf>
    <dxf>
      <font>
        <b/>
      </font>
      <fill>
        <patternFill>
          <bgColor rgb="FFFEF3C7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ont>
        <b/>
      </font>
      <fill>
        <patternFill>
          <bgColor rgb="FFDCFCE7"/>
        </patternFill>
      </fill>
    </dxf>
    <dxf>
      <font>
        <b/>
      </font>
      <fill>
        <patternFill>
          <bgColor rgb="FFFDE68A"/>
        </patternFill>
      </fill>
    </dxf>
    <dxf>
      <fill>
        <patternFill>
          <bgColor rgb="FFFEE2E2"/>
        </patternFill>
      </fill>
    </dxf>
    <dxf>
      <font>
        <b/>
      </font>
      <fill>
        <patternFill>
          <bgColor rgb="FFFEF3C7"/>
        </patternFill>
      </fill>
    </dxf>
    <dxf>
      <font>
        <b/>
      </font>
      <fill>
        <patternFill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E5E7EB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ont>
        <b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Top 10 reassessed venue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ABC-423C-8E0B-39A6744471D9}"/>
            </c:ext>
          </c:extLst>
        </c:ser>
        <c:ser>
          <c:idx val="1"/>
          <c:order val="1"/>
          <c:tx>
            <c:v>Weighted score</c:v>
          </c:tx>
          <c:invertIfNegative val="1"/>
          <c:cat>
            <c:strRef>
              <c:f>'Reassessed 27 Venues'!$A$2:$A$11</c:f>
              <c:strCache>
                <c:ptCount val="10"/>
                <c:pt idx="0">
                  <c:v>IEEE ICoDSE 2026</c:v>
                </c:pt>
                <c:pt idx="1">
                  <c:v>UncertaiNLP 2026</c:v>
                </c:pt>
                <c:pt idx="2">
                  <c:v>KGSWC 2026</c:v>
                </c:pt>
                <c:pt idx="3">
                  <c:v>AKBC 2026</c:v>
                </c:pt>
                <c:pt idx="4">
                  <c:v>WAAI 2026</c:v>
                </c:pt>
                <c:pt idx="5">
                  <c:v>IEEE DASC 2026</c:v>
                </c:pt>
                <c:pt idx="6">
                  <c:v>Learning on Graphs 2026</c:v>
                </c:pt>
                <c:pt idx="7">
                  <c:v>IEEE TPS 2026</c:v>
                </c:pt>
                <c:pt idx="8">
                  <c:v>GAISS 2026</c:v>
                </c:pt>
                <c:pt idx="9">
                  <c:v>FMLDS 2026</c:v>
                </c:pt>
              </c:strCache>
            </c:strRef>
          </c:cat>
          <c:val>
            <c:numRef>
              <c:f>'Reassessed 27 Venues'!$P$2:$P$11</c:f>
              <c:numCache>
                <c:formatCode>0.0</c:formatCode>
                <c:ptCount val="10"/>
                <c:pt idx="0">
                  <c:v>88.5</c:v>
                </c:pt>
                <c:pt idx="1">
                  <c:v>86</c:v>
                </c:pt>
                <c:pt idx="2">
                  <c:v>78</c:v>
                </c:pt>
                <c:pt idx="3">
                  <c:v>77.5</c:v>
                </c:pt>
                <c:pt idx="4">
                  <c:v>76.5</c:v>
                </c:pt>
                <c:pt idx="5">
                  <c:v>75.5</c:v>
                </c:pt>
                <c:pt idx="6">
                  <c:v>74.5</c:v>
                </c:pt>
                <c:pt idx="7">
                  <c:v>70.5</c:v>
                </c:pt>
                <c:pt idx="8">
                  <c:v>69.5</c:v>
                </c:pt>
                <c:pt idx="9">
                  <c:v>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BC-423C-8E0B-39A674447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Top 10 career-adjusted venue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FA5-4870-915B-E6FE7548CB7F}"/>
            </c:ext>
          </c:extLst>
        </c:ser>
        <c:ser>
          <c:idx val="1"/>
          <c:order val="1"/>
          <c:tx>
            <c:v>Career-adjusted score</c:v>
          </c:tx>
          <c:invertIfNegative val="1"/>
          <c:cat>
            <c:strRef>
              <c:f>'AI Governance Reassessment'!$A$2:$A$11</c:f>
              <c:strCache>
                <c:ptCount val="10"/>
                <c:pt idx="0">
                  <c:v>AKBC 2026</c:v>
                </c:pt>
                <c:pt idx="1">
                  <c:v>IEEE ICoDSE 2026</c:v>
                </c:pt>
                <c:pt idx="2">
                  <c:v>IEEE DASC 2026</c:v>
                </c:pt>
                <c:pt idx="3">
                  <c:v>IEEE TPS 2026</c:v>
                </c:pt>
                <c:pt idx="4">
                  <c:v>WAAI 2026</c:v>
                </c:pt>
                <c:pt idx="5">
                  <c:v>GAISS 2026</c:v>
                </c:pt>
                <c:pt idx="6">
                  <c:v>UncertaiNLP 2026</c:v>
                </c:pt>
                <c:pt idx="7">
                  <c:v>IEEE CogMI 2026</c:v>
                </c:pt>
                <c:pt idx="8">
                  <c:v>FMLDS 2026</c:v>
                </c:pt>
                <c:pt idx="9">
                  <c:v>KGSWC 2026</c:v>
                </c:pt>
              </c:strCache>
            </c:strRef>
          </c:cat>
          <c:val>
            <c:numRef>
              <c:f>'AI Governance Reassessment'!$R$2:$R$11</c:f>
              <c:numCache>
                <c:formatCode>0.0</c:formatCode>
                <c:ptCount val="10"/>
                <c:pt idx="0">
                  <c:v>66.5</c:v>
                </c:pt>
                <c:pt idx="1">
                  <c:v>83.5</c:v>
                </c:pt>
                <c:pt idx="2">
                  <c:v>70</c:v>
                </c:pt>
                <c:pt idx="3">
                  <c:v>77</c:v>
                </c:pt>
                <c:pt idx="4">
                  <c:v>66.5</c:v>
                </c:pt>
                <c:pt idx="5">
                  <c:v>74.5</c:v>
                </c:pt>
                <c:pt idx="6">
                  <c:v>76</c:v>
                </c:pt>
                <c:pt idx="7">
                  <c:v>72.5</c:v>
                </c:pt>
                <c:pt idx="8">
                  <c:v>59</c:v>
                </c:pt>
                <c:pt idx="9">
                  <c:v>71.5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A5-4870-915B-E6FE7548C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Near-Term Venue Scores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numRef>
              <c:f>'Deadline Dashboard'!$A$5:$A$21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'Deadline Dashboard'!$B$5:$B$21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E-4B1B-BB83-5B12EAAF99A8}"/>
            </c:ext>
          </c:extLst>
        </c:ser>
        <c:ser>
          <c:idx val="1"/>
          <c:order val="1"/>
          <c:invertIfNegative val="1"/>
          <c:cat>
            <c:numRef>
              <c:f>'Deadline Dashboard'!$A$5:$A$21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'Deadline Dashboard'!$C$5:$C$21</c:f>
              <c:numCache>
                <c:formatCode>yyyy\-mm\-dd</c:formatCode>
                <c:ptCount val="17"/>
                <c:pt idx="0">
                  <c:v>46227</c:v>
                </c:pt>
                <c:pt idx="1">
                  <c:v>46227</c:v>
                </c:pt>
                <c:pt idx="2">
                  <c:v>46230</c:v>
                </c:pt>
                <c:pt idx="3">
                  <c:v>46234</c:v>
                </c:pt>
                <c:pt idx="4">
                  <c:v>46234</c:v>
                </c:pt>
                <c:pt idx="5">
                  <c:v>46234</c:v>
                </c:pt>
                <c:pt idx="6">
                  <c:v>46234</c:v>
                </c:pt>
                <c:pt idx="7">
                  <c:v>46236</c:v>
                </c:pt>
                <c:pt idx="8">
                  <c:v>46239</c:v>
                </c:pt>
                <c:pt idx="9">
                  <c:v>46241</c:v>
                </c:pt>
                <c:pt idx="10">
                  <c:v>46241</c:v>
                </c:pt>
                <c:pt idx="11">
                  <c:v>46241</c:v>
                </c:pt>
                <c:pt idx="12">
                  <c:v>46249</c:v>
                </c:pt>
                <c:pt idx="13">
                  <c:v>46249</c:v>
                </c:pt>
                <c:pt idx="14">
                  <c:v>46249</c:v>
                </c:pt>
                <c:pt idx="15">
                  <c:v>46251</c:v>
                </c:pt>
                <c:pt idx="16">
                  <c:v>46255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E-4B1B-BB83-5B12EAAF99A8}"/>
            </c:ext>
          </c:extLst>
        </c:ser>
        <c:ser>
          <c:idx val="2"/>
          <c:order val="2"/>
          <c:invertIfNegative val="1"/>
          <c:cat>
            <c:numRef>
              <c:f>'Deadline Dashboard'!$A$5:$A$21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'Deadline Dashboard'!$D$5:$D$21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12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24</c:v>
                </c:pt>
                <c:pt idx="16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E-4B1B-BB83-5B12EAAF99A8}"/>
            </c:ext>
          </c:extLst>
        </c:ser>
        <c:ser>
          <c:idx val="3"/>
          <c:order val="3"/>
          <c:invertIfNegative val="1"/>
          <c:cat>
            <c:numRef>
              <c:f>'Deadline Dashboard'!$A$5:$A$21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'Deadline Dashboard'!$E$5:$E$21</c:f>
              <c:numCache>
                <c:formatCode>0.0</c:formatCode>
                <c:ptCount val="17"/>
                <c:pt idx="0">
                  <c:v>4.5</c:v>
                </c:pt>
                <c:pt idx="1">
                  <c:v>3</c:v>
                </c:pt>
                <c:pt idx="2">
                  <c:v>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4.5</c:v>
                </c:pt>
                <c:pt idx="9">
                  <c:v>4</c:v>
                </c:pt>
                <c:pt idx="10">
                  <c:v>4.5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3.5</c:v>
                </c:pt>
                <c:pt idx="1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E-4B1B-BB83-5B12EAAF99A8}"/>
            </c:ext>
          </c:extLst>
        </c:ser>
        <c:ser>
          <c:idx val="4"/>
          <c:order val="4"/>
          <c:invertIfNegative val="1"/>
          <c:cat>
            <c:numRef>
              <c:f>'Deadline Dashboard'!$A$5:$A$21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'Deadline Dashboard'!$F$5:$F$21</c:f>
              <c:numCache>
                <c:formatCode>0.0</c:formatCode>
                <c:ptCount val="17"/>
                <c:pt idx="0">
                  <c:v>4.47</c:v>
                </c:pt>
                <c:pt idx="1">
                  <c:v>3.95</c:v>
                </c:pt>
                <c:pt idx="2">
                  <c:v>4.78</c:v>
                </c:pt>
                <c:pt idx="3">
                  <c:v>4.5</c:v>
                </c:pt>
                <c:pt idx="4">
                  <c:v>4.47</c:v>
                </c:pt>
                <c:pt idx="5">
                  <c:v>4.4000000000000004</c:v>
                </c:pt>
                <c:pt idx="6">
                  <c:v>4.3499999999999996</c:v>
                </c:pt>
                <c:pt idx="7">
                  <c:v>4.7699999999999996</c:v>
                </c:pt>
                <c:pt idx="8">
                  <c:v>4.38</c:v>
                </c:pt>
                <c:pt idx="9">
                  <c:v>4.5</c:v>
                </c:pt>
                <c:pt idx="10">
                  <c:v>4.22</c:v>
                </c:pt>
                <c:pt idx="11">
                  <c:v>4.1500000000000004</c:v>
                </c:pt>
                <c:pt idx="12">
                  <c:v>4.4000000000000004</c:v>
                </c:pt>
                <c:pt idx="13">
                  <c:v>4.2</c:v>
                </c:pt>
                <c:pt idx="14">
                  <c:v>3.97</c:v>
                </c:pt>
                <c:pt idx="15">
                  <c:v>3.8</c:v>
                </c:pt>
                <c:pt idx="16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7E-4B1B-BB83-5B12EAAF99A8}"/>
            </c:ext>
          </c:extLst>
        </c:ser>
        <c:ser>
          <c:idx val="5"/>
          <c:order val="5"/>
          <c:invertIfNegative val="1"/>
          <c:cat>
            <c:numRef>
              <c:f>'Deadline Dashboard'!$A$5:$A$21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'Deadline Dashboard'!$G$5:$G$21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7E-4B1B-BB83-5B12EAAF99A8}"/>
            </c:ext>
          </c:extLst>
        </c:ser>
        <c:ser>
          <c:idx val="6"/>
          <c:order val="6"/>
          <c:invertIfNegative val="1"/>
          <c:cat>
            <c:numRef>
              <c:f>'Deadline Dashboard'!$A$5:$A$21</c:f>
              <c:numCache>
                <c:formatCode>General</c:formatCode>
                <c:ptCount val="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</c:numCache>
            </c:numRef>
          </c:cat>
          <c:val>
            <c:numRef>
              <c:f>'Deadline Dashboard'!$H$5:$H$21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7E-4B1B-BB83-5B12EAAF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29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</xdr:row>
      <xdr:rowOff>0</xdr:rowOff>
    </xdr:from>
    <xdr:to>
      <xdr:col>30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ndidateTable" displayName="CandidateTable" ref="A1:R20">
  <tableColumns count="18">
    <tableColumn id="1" xr3:uid="{00000000-0010-0000-0000-000001000000}" name="Venue"/>
    <tableColumn id="2" xr3:uid="{00000000-0010-0000-0000-000002000000}" name="Type"/>
    <tableColumn id="3" xr3:uid="{00000000-0010-0000-0000-000003000000}" name="UALR gate"/>
    <tableColumn id="4" xr3:uid="{00000000-0010-0000-0000-000004000000}" name="Peer review"/>
    <tableColumn id="5" xr3:uid="{00000000-0010-0000-0000-000005000000}" name="Proceedings/journal"/>
    <tableColumn id="6" xr3:uid="{00000000-0010-0000-0000-000006000000}" name="Submission"/>
    <tableColumn id="7" xr3:uid="{00000000-0010-0000-0000-000007000000}" name="Final decision"/>
    <tableColumn id="8" xr3:uid="{00000000-0010-0000-0000-000008000000}" name="Acceptance notice"/>
    <tableColumn id="9" xr3:uid="{00000000-0010-0000-0000-000009000000}" name="Paper fit"/>
    <tableColumn id="10" xr3:uid="{00000000-0010-0000-0000-00000A000000}" name="Reliability"/>
    <tableColumn id="11" xr3:uid="{00000000-0010-0000-0000-00000B000000}" name="Acceptance risk"/>
    <tableColumn id="12" xr3:uid="{00000000-0010-0000-0000-00000C000000}" name="Recovery value"/>
    <tableColumn id="13" xr3:uid="{00000000-0010-0000-0000-00000D000000}" name="Weighted score"/>
    <tableColumn id="14" xr3:uid="{00000000-0010-0000-0000-00000E000000}" name="Status"/>
    <tableColumn id="15" xr3:uid="{00000000-0010-0000-0000-00000F000000}" name="Timing score"/>
    <tableColumn id="16" xr3:uid="{00000000-0010-0000-0000-000010000000}" name="Primary source"/>
    <tableColumn id="17" xr3:uid="{00000000-0010-0000-0000-000011000000}" name="Secondary source"/>
    <tableColumn id="18" xr3:uid="{00000000-0010-0000-0000-000012000000}" name="Evidence / rejection rationa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Table" displayName="RejectedTable" ref="A1:R15">
  <tableColumns count="18">
    <tableColumn id="1" xr3:uid="{00000000-0010-0000-0100-000001000000}" name="Venue"/>
    <tableColumn id="2" xr3:uid="{00000000-0010-0000-0100-000002000000}" name="Type"/>
    <tableColumn id="3" xr3:uid="{00000000-0010-0000-0100-000003000000}" name="UALR gate"/>
    <tableColumn id="4" xr3:uid="{00000000-0010-0000-0100-000004000000}" name="Peer review"/>
    <tableColumn id="5" xr3:uid="{00000000-0010-0000-0100-000005000000}" name="Proceedings/journal"/>
    <tableColumn id="6" xr3:uid="{00000000-0010-0000-0100-000006000000}" name="Submission"/>
    <tableColumn id="7" xr3:uid="{00000000-0010-0000-0100-000007000000}" name="Final decision"/>
    <tableColumn id="8" xr3:uid="{00000000-0010-0000-0100-000008000000}" name="Acceptance notice"/>
    <tableColumn id="9" xr3:uid="{00000000-0010-0000-0100-000009000000}" name="Paper fit"/>
    <tableColumn id="10" xr3:uid="{00000000-0010-0000-0100-00000A000000}" name="Reliability"/>
    <tableColumn id="11" xr3:uid="{00000000-0010-0000-0100-00000B000000}" name="Acceptance risk"/>
    <tableColumn id="12" xr3:uid="{00000000-0010-0000-0100-00000C000000}" name="Recovery value"/>
    <tableColumn id="13" xr3:uid="{00000000-0010-0000-0100-00000D000000}" name="Weighted score"/>
    <tableColumn id="14" xr3:uid="{00000000-0010-0000-0100-00000E000000}" name="Status"/>
    <tableColumn id="15" xr3:uid="{00000000-0010-0000-0100-00000F000000}" name="Timing score"/>
    <tableColumn id="16" xr3:uid="{00000000-0010-0000-0100-000010000000}" name="Primary source"/>
    <tableColumn id="17" xr3:uid="{00000000-0010-0000-0100-000011000000}" name="Secondary source"/>
    <tableColumn id="18" xr3:uid="{00000000-0010-0000-0100-000012000000}" name="Evidence / rejection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1:C17">
  <tableColumns count="3">
    <tableColumn id="1" xr3:uid="{00000000-0010-0000-0200-000001000000}" name="Source category"/>
    <tableColumn id="2" xr3:uid="{00000000-0010-0000-0200-000002000000}" name="Source"/>
    <tableColumn id="3" xr3:uid="{00000000-0010-0000-0200-000003000000}" name="Use in the sc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llOptionsExtensionTable" displayName="AllOptionsExtensionTable" ref="A1:V31">
  <tableColumns count="22">
    <tableColumn id="1" xr3:uid="{00000000-0010-0000-0300-000001000000}" name="Venue"/>
    <tableColumn id="2" xr3:uid="{00000000-0010-0000-0300-000002000000}" name="Type"/>
    <tableColumn id="3" xr3:uid="{00000000-0010-0000-0300-000003000000}" name="UALR gate"/>
    <tableColumn id="4" xr3:uid="{00000000-0010-0000-0300-000004000000}" name="Peer review"/>
    <tableColumn id="5" xr3:uid="{00000000-0010-0000-0300-000005000000}" name="Proceedings/journal"/>
    <tableColumn id="6" xr3:uid="{00000000-0010-0000-0300-000006000000}" name="Submission"/>
    <tableColumn id="7" xr3:uid="{00000000-0010-0000-0300-000007000000}" name="Final decision"/>
    <tableColumn id="8" xr3:uid="{00000000-0010-0000-0300-000008000000}" name="Acceptance notice"/>
    <tableColumn id="9" xr3:uid="{00000000-0010-0000-0300-000009000000}" name="Paper fit"/>
    <tableColumn id="10" xr3:uid="{00000000-0010-0000-0300-00000A000000}" name="Reliability"/>
    <tableColumn id="11" xr3:uid="{00000000-0010-0000-0300-00000B000000}" name="Acceptance risk"/>
    <tableColumn id="12" xr3:uid="{00000000-0010-0000-0300-00000C000000}" name="Recovery value"/>
    <tableColumn id="13" xr3:uid="{00000000-0010-0000-0300-00000D000000}" name="Weighted score"/>
    <tableColumn id="14" xr3:uid="{00000000-0010-0000-0300-00000E000000}" name="Status"/>
    <tableColumn id="15" xr3:uid="{00000000-0010-0000-0300-00000F000000}" name="Timing score"/>
    <tableColumn id="16" xr3:uid="{00000000-0010-0000-0300-000010000000}" name="Deadline state (Jul 23)"/>
    <tableColumn id="17" xr3:uid="{00000000-0010-0000-0300-000011000000}" name="Extension status / evidence"/>
    <tableColumn id="18" xr3:uid="{00000000-0010-0000-0300-000012000000}" name="Extension-watch priority"/>
    <tableColumn id="19" xr3:uid="{00000000-0010-0000-0300-000013000000}" name="Manual verification action"/>
    <tableColumn id="20" xr3:uid="{00000000-0010-0000-0300-000014000000}" name="Primary source"/>
    <tableColumn id="21" xr3:uid="{00000000-0010-0000-0300-000015000000}" name="Secondary source"/>
    <tableColumn id="22" xr3:uid="{00000000-0010-0000-0300-000016000000}" name="Evidence / rationa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nueAcceptanceRatesTable" displayName="VenueAcceptanceRatesTable" ref="A1:J38">
  <tableColumns count="10">
    <tableColumn id="1" xr3:uid="{00000000-0010-0000-0400-000001000000}" name="Venue"/>
    <tableColumn id="2" xr3:uid="{00000000-0010-0000-0400-000002000000}" name="Acceptance %"/>
    <tableColumn id="3" xr3:uid="{00000000-0010-0000-0400-000003000000}" name="Reference year"/>
    <tableColumn id="4" xr3:uid="{00000000-0010-0000-0400-000004000000}" name="Accepted papers"/>
    <tableColumn id="5" xr3:uid="{00000000-0010-0000-0400-000005000000}" name="Submissions"/>
    <tableColumn id="6" xr3:uid="{00000000-0010-0000-0400-000006000000}" name="Evidence category"/>
    <tableColumn id="7" xr3:uid="{00000000-0010-0000-0400-000007000000}" name="Applicability to listed venue"/>
    <tableColumn id="8" xr3:uid="{00000000-0010-0000-0400-000008000000}" name="Confidence"/>
    <tableColumn id="9" xr3:uid="{00000000-0010-0000-0400-000009000000}" name="Source URL"/>
    <tableColumn id="10" xr3:uid="{00000000-0010-0000-0400-00000A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assessed27Table" displayName="Reassessed27Table" ref="A1:T28">
  <sortState xmlns:xlrd2="http://schemas.microsoft.com/office/spreadsheetml/2017/richdata2" ref="A2:T28">
    <sortCondition ref="Q1:Q28"/>
  </sortState>
  <tableColumns count="20">
    <tableColumn id="1" xr3:uid="{00000000-0010-0000-0500-000001000000}" name="Venue"/>
    <tableColumn id="2" xr3:uid="{00000000-0010-0000-0500-000002000000}" name="Current status"/>
    <tableColumn id="3" xr3:uid="{00000000-0010-0000-0500-000003000000}" name="Venue profile"/>
    <tableColumn id="4" xr3:uid="{00000000-0010-0000-0500-000004000000}" name="Hard constraints"/>
    <tableColumn id="5" xr3:uid="{00000000-0010-0000-0500-000005000000}" name="Historical acceptance %"/>
    <tableColumn id="6" xr3:uid="{00000000-0010-0000-0500-000006000000}" name="Accepted"/>
    <tableColumn id="7" xr3:uid="{00000000-0010-0000-0500-000007000000}" name="Submissions"/>
    <tableColumn id="8" xr3:uid="{00000000-0010-0000-0500-000008000000}" name="Evidence class"/>
    <tableColumn id="9" xr3:uid="{00000000-0010-0000-0500-000009000000}" name="Evidence-adjusted acceptance %"/>
    <tableColumn id="10" xr3:uid="{00000000-0010-0000-0500-00000A000000}" name="Acceptance opportunity (1-5)"/>
    <tableColumn id="11" xr3:uid="{00000000-0010-0000-0500-00000B000000}" name="Sample confidence (1-5)"/>
    <tableColumn id="12" xr3:uid="{00000000-0010-0000-0500-00000C000000}" name="Specialization alignment (1-5)"/>
    <tableColumn id="13" xr3:uid="{00000000-0010-0000-0500-00000D000000}" name="Reliability / UALR (1-5)"/>
    <tableColumn id="14" xr3:uid="{00000000-0010-0000-0500-00000E000000}" name="Timing (1-5)"/>
    <tableColumn id="15" xr3:uid="{00000000-0010-0000-0500-00000F000000}" name="Recovery (1-5)"/>
    <tableColumn id="16" xr3:uid="{00000000-0010-0000-0500-000010000000}" name="Weighted score"/>
    <tableColumn id="17" xr3:uid="{00000000-0010-0000-0500-000011000000}" name="Revised rank"/>
    <tableColumn id="18" xr3:uid="{00000000-0010-0000-0500-000012000000}" name="Reassessment"/>
    <tableColumn id="19" xr3:uid="{00000000-0010-0000-0500-000013000000}" name="Official / evidence source"/>
    <tableColumn id="20" xr3:uid="{00000000-0010-0000-0500-000014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IGovernanceReassessmentTable" displayName="AIGovernanceReassessmentTable" ref="A1:U28">
  <tableColumns count="21">
    <tableColumn id="1" xr3:uid="{00000000-0010-0000-0600-000001000000}" name="Venue"/>
    <tableColumn id="2" xr3:uid="{00000000-0010-0000-0600-000002000000}" name="Hard constraints"/>
    <tableColumn id="3" xr3:uid="{00000000-0010-0000-0600-000003000000}" name="Venue profile"/>
    <tableColumn id="4" xr3:uid="{00000000-0010-0000-0600-000004000000}" name="Historical acceptance %"/>
    <tableColumn id="5" xr3:uid="{00000000-0010-0000-0600-000005000000}" name="Accepted"/>
    <tableColumn id="6" xr3:uid="{00000000-0010-0000-0600-000006000000}" name="Submissions"/>
    <tableColumn id="7" xr3:uid="{00000000-0010-0000-0600-000007000000}" name="Evidence-adjusted acceptance %"/>
    <tableColumn id="8" xr3:uid="{00000000-0010-0000-0600-000008000000}" name="Acceptance opportunity"/>
    <tableColumn id="9" xr3:uid="{00000000-0010-0000-0600-000009000000}" name="Sample confidence"/>
    <tableColumn id="10" xr3:uid="{00000000-0010-0000-0600-00000A000000}" name="Technical specialization fit"/>
    <tableColumn id="11" xr3:uid="{00000000-0010-0000-0600-00000B000000}" name="AI governance relevance"/>
    <tableColumn id="12" xr3:uid="{00000000-0010-0000-0600-00000C000000}" name="Governance topic classification"/>
    <tableColumn id="13" xr3:uid="{00000000-0010-0000-0600-00000D000000}" name="Official governance-topic basis"/>
    <tableColumn id="14" xr3:uid="{00000000-0010-0000-0600-00000E000000}" name="Professional networking value"/>
    <tableColumn id="15" xr3:uid="{00000000-0010-0000-0600-00000F000000}" name="Reliability / UALR"/>
    <tableColumn id="16" xr3:uid="{00000000-0010-0000-0600-000010000000}" name="Timing"/>
    <tableColumn id="17" xr3:uid="{00000000-0010-0000-0600-000011000000}" name="Recovery"/>
    <tableColumn id="18" xr3:uid="{00000000-0010-0000-0600-000012000000}" name="Career-adjusted weighted score"/>
    <tableColumn id="19" xr3:uid="{00000000-0010-0000-0600-000013000000}" name="Revised rank"/>
    <tableColumn id="20" xr3:uid="{00000000-0010-0000-0600-000014000000}" name="Revised recommendation"/>
    <tableColumn id="21" xr3:uid="{00000000-0010-0000-0600-000015000000}" name="Official / evidence sourc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erifiedOpenVenues" displayName="VerifiedOpenVenues" ref="A4:P21">
  <tableColumns count="16">
    <tableColumn id="1" xr3:uid="{00000000-0010-0000-0700-000001000000}" name="Rank"/>
    <tableColumn id="2" xr3:uid="{00000000-0010-0000-0700-000002000000}" name="Venue"/>
    <tableColumn id="3" xr3:uid="{00000000-0010-0000-0700-000003000000}" name="Type"/>
    <tableColumn id="4" xr3:uid="{00000000-0010-0000-0700-000004000000}" name="Publisher"/>
    <tableColumn id="5" xr3:uid="{00000000-0010-0000-0700-000005000000}" name="Deadline"/>
    <tableColumn id="6" xr3:uid="{00000000-0010-0000-0700-000006000000}" name="Notification"/>
    <tableColumn id="7" xr3:uid="{00000000-0010-0000-0700-000007000000}" name="Fit"/>
    <tableColumn id="8" xr3:uid="{00000000-0010-0000-0700-000008000000}" name="Reliability"/>
    <tableColumn id="9" xr3:uid="{00000000-0010-0000-0700-000009000000}" name="Risk_x000a_(5=safest)"/>
    <tableColumn id="10" xr3:uid="{00000000-0010-0000-0700-00000A000000}" name="Recovery"/>
    <tableColumn id="11" xr3:uid="{00000000-0010-0000-0700-00000B000000}" name="Timing"/>
    <tableColumn id="12" xr3:uid="{00000000-0010-0000-0700-00000C000000}" name="Overall"/>
    <tableColumn id="13" xr3:uid="{00000000-0010-0000-0700-00000D000000}" name="Deadline / Status"/>
    <tableColumn id="14" xr3:uid="{00000000-0010-0000-0700-00000E000000}" name="One-line fit rationale"/>
    <tableColumn id="15" xr3:uid="{00000000-0010-0000-0700-00000F000000}" name="Official CFP URL"/>
    <tableColumn id="16" xr3:uid="{00000000-0010-0000-0700-000010000000}" name="Verification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edAuditTable" displayName="SeedAuditTable" ref="A4:I31">
  <tableColumns count="9">
    <tableColumn id="1" xr3:uid="{00000000-0010-0000-0800-000001000000}" name="Seed venue"/>
    <tableColumn id="2" xr3:uid="{00000000-0010-0000-0800-000002000000}" name="Verified status"/>
    <tableColumn id="3" xr3:uid="{00000000-0010-0000-0800-000003000000}" name="Deadline"/>
    <tableColumn id="4" xr3:uid="{00000000-0010-0000-0800-000004000000}" name="Notification"/>
    <tableColumn id="5" xr3:uid="{00000000-0010-0000-0800-000005000000}" name="Change from prior workbook"/>
    <tableColumn id="6" xr3:uid="{00000000-0010-0000-0800-000006000000}" name="Hard-constraint result"/>
    <tableColumn id="7" xr3:uid="{00000000-0010-0000-0800-000007000000}" name="Reason"/>
    <tableColumn id="8" xr3:uid="{00000000-0010-0000-0800-000008000000}" name="Official URL"/>
    <tableColumn id="9" xr3:uid="{1ED227F7-55F5-4BD8-BC13-F15347EC4C20}" name="Column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onditionalRecoveryTable" displayName="ConditionalRecoveryTable" ref="A4:I23">
  <tableColumns count="9">
    <tableColumn id="1" xr3:uid="{00000000-0010-0000-0900-000001000000}" name="Venue"/>
    <tableColumn id="2" xr3:uid="{00000000-0010-0000-0900-000002000000}" name="Eligibility / issue"/>
    <tableColumn id="3" xr3:uid="{00000000-0010-0000-0900-000003000000}" name="Deadline"/>
    <tableColumn id="4" xr3:uid="{00000000-0010-0000-0900-000004000000}" name="Notification"/>
    <tableColumn id="5" xr3:uid="{00000000-0010-0000-0900-000005000000}" name="Potential fit"/>
    <tableColumn id="6" xr3:uid="{00000000-0010-0000-0900-000006000000}" name="Reliability"/>
    <tableColumn id="7" xr3:uid="{00000000-0010-0000-0900-000007000000}" name="Why not a hard pass"/>
    <tableColumn id="8" xr3:uid="{00000000-0010-0000-0900-000008000000}" name="Required action"/>
    <tableColumn id="9" xr3:uid="{00000000-0010-0000-0900-000009000000}" name="Official UR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eadlineDashboardTable" displayName="DeadlineDashboardTable" ref="A4:H21">
  <tableColumns count="8">
    <tableColumn id="1" xr3:uid="{00000000-0010-0000-0A00-000001000000}" name="Sequence"/>
    <tableColumn id="2" xr3:uid="{00000000-0010-0000-0A00-000002000000}" name="Venue"/>
    <tableColumn id="3" xr3:uid="{00000000-0010-0000-0A00-000003000000}" name="Deadline"/>
    <tableColumn id="4" xr3:uid="{00000000-0010-0000-0A00-000004000000}" name="Days from cutoff"/>
    <tableColumn id="5" xr3:uid="{00000000-0010-0000-0A00-000005000000}" name="Fit"/>
    <tableColumn id="6" xr3:uid="{00000000-0010-0000-0A00-000006000000}" name="Overall"/>
    <tableColumn id="7" xr3:uid="{00000000-0010-0000-0A00-000007000000}" name="Urgency"/>
    <tableColumn id="8" xr3:uid="{00000000-0010-0000-0A00-000008000000}" name="Submission fram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hyperlink" Target="https://easychair.org/cfp/taig2026" TargetMode="External"/><Relationship Id="rId1" Type="http://schemas.openxmlformats.org/officeDocument/2006/relationships/hyperlink" Target="https://icies-conf.inf.elte.hu/content/call-for-papers.t.53028?m=11087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2" sqref="A2"/>
    </sheetView>
  </sheetViews>
  <sheetFormatPr defaultRowHeight="13.8"/>
  <cols>
    <col min="1" max="1" width="24" customWidth="1"/>
    <col min="2" max="2" width="16" customWidth="1"/>
    <col min="3" max="3" width="20" customWidth="1"/>
    <col min="4" max="4" width="28" customWidth="1"/>
    <col min="5" max="5" width="30" customWidth="1"/>
    <col min="6" max="7" width="13" customWidth="1"/>
    <col min="8" max="8" width="25" customWidth="1"/>
    <col min="9" max="12" width="13" customWidth="1"/>
    <col min="13" max="13" width="14" customWidth="1"/>
    <col min="14" max="14" width="38" customWidth="1"/>
    <col min="15" max="15" width="13" customWidth="1"/>
    <col min="16" max="17" width="42" customWidth="1"/>
    <col min="18" max="18" width="54" customWidth="1"/>
  </cols>
  <sheetData>
    <row r="1" spans="1:18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41.4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4">
        <v>46230</v>
      </c>
      <c r="G2" s="4">
        <v>46266</v>
      </c>
      <c r="H2" s="3" t="s">
        <v>23</v>
      </c>
      <c r="I2" s="3">
        <v>5</v>
      </c>
      <c r="J2" s="3">
        <v>4.5</v>
      </c>
      <c r="K2" s="3">
        <v>3</v>
      </c>
      <c r="L2" s="3">
        <v>4</v>
      </c>
      <c r="M2" s="3">
        <f t="shared" ref="M2:M20" si="0">ROUND(20*(0.25*O2+0.25*J2+0.25*I2+0.15*K2+0.1*L2),1)</f>
        <v>87</v>
      </c>
      <c r="N2" s="3" t="s">
        <v>24</v>
      </c>
      <c r="O2" s="3">
        <v>4.5</v>
      </c>
      <c r="P2" s="3" t="s">
        <v>25</v>
      </c>
      <c r="Q2" s="3" t="s">
        <v>26</v>
      </c>
      <c r="R2" s="3" t="s">
        <v>27</v>
      </c>
    </row>
    <row r="3" spans="1:18" ht="41.4">
      <c r="A3" s="3" t="s">
        <v>28</v>
      </c>
      <c r="B3" s="3" t="s">
        <v>19</v>
      </c>
      <c r="C3" s="3" t="s">
        <v>20</v>
      </c>
      <c r="D3" s="3" t="s">
        <v>29</v>
      </c>
      <c r="E3" s="3" t="s">
        <v>30</v>
      </c>
      <c r="F3" s="4">
        <v>46243</v>
      </c>
      <c r="G3" s="4">
        <v>46257</v>
      </c>
      <c r="H3" s="3" t="s">
        <v>31</v>
      </c>
      <c r="I3" s="3">
        <v>4</v>
      </c>
      <c r="J3" s="3">
        <v>3.5</v>
      </c>
      <c r="K3" s="3">
        <v>3.5</v>
      </c>
      <c r="L3" s="3">
        <v>5</v>
      </c>
      <c r="M3" s="3">
        <f t="shared" si="0"/>
        <v>83</v>
      </c>
      <c r="N3" s="3" t="s">
        <v>32</v>
      </c>
      <c r="O3" s="3">
        <v>5</v>
      </c>
      <c r="P3" s="3" t="s">
        <v>33</v>
      </c>
      <c r="Q3" s="3" t="s">
        <v>34</v>
      </c>
      <c r="R3" s="3" t="s">
        <v>35</v>
      </c>
    </row>
    <row r="4" spans="1:18" ht="41.4">
      <c r="A4" s="3" t="s">
        <v>36</v>
      </c>
      <c r="B4" s="3" t="s">
        <v>37</v>
      </c>
      <c r="C4" s="3" t="s">
        <v>20</v>
      </c>
      <c r="D4" s="3" t="s">
        <v>38</v>
      </c>
      <c r="E4" s="3" t="s">
        <v>39</v>
      </c>
      <c r="F4" s="4">
        <v>46233</v>
      </c>
      <c r="G4" s="4">
        <v>46244</v>
      </c>
      <c r="H4" s="3" t="s">
        <v>40</v>
      </c>
      <c r="I4" s="3">
        <v>4.5</v>
      </c>
      <c r="J4" s="3">
        <v>3</v>
      </c>
      <c r="K4" s="3">
        <v>3</v>
      </c>
      <c r="L4" s="3">
        <v>5</v>
      </c>
      <c r="M4" s="3">
        <f t="shared" si="0"/>
        <v>81.5</v>
      </c>
      <c r="N4" s="3" t="s">
        <v>41</v>
      </c>
      <c r="O4" s="3">
        <v>5</v>
      </c>
      <c r="P4" s="3" t="s">
        <v>42</v>
      </c>
      <c r="Q4" s="3" t="s">
        <v>43</v>
      </c>
      <c r="R4" s="3" t="s">
        <v>44</v>
      </c>
    </row>
    <row r="5" spans="1:18" ht="41.4">
      <c r="A5" s="3" t="s">
        <v>45</v>
      </c>
      <c r="B5" s="3" t="s">
        <v>37</v>
      </c>
      <c r="C5" s="3" t="s">
        <v>46</v>
      </c>
      <c r="D5" s="3" t="s">
        <v>47</v>
      </c>
      <c r="E5" s="3" t="s">
        <v>48</v>
      </c>
      <c r="F5" s="4">
        <v>46234</v>
      </c>
      <c r="G5" s="4">
        <v>46266</v>
      </c>
      <c r="H5" s="3" t="s">
        <v>49</v>
      </c>
      <c r="I5" s="3">
        <v>4</v>
      </c>
      <c r="J5" s="3">
        <v>5</v>
      </c>
      <c r="K5" s="3">
        <v>2.5</v>
      </c>
      <c r="L5" s="3">
        <v>4</v>
      </c>
      <c r="M5" s="3">
        <f t="shared" si="0"/>
        <v>83</v>
      </c>
      <c r="N5" s="3" t="s">
        <v>50</v>
      </c>
      <c r="O5" s="3">
        <v>4.5</v>
      </c>
      <c r="P5" s="3" t="s">
        <v>51</v>
      </c>
      <c r="Q5" s="3" t="s">
        <v>52</v>
      </c>
      <c r="R5" s="3" t="s">
        <v>53</v>
      </c>
    </row>
    <row r="6" spans="1:18" ht="41.4">
      <c r="A6" s="3" t="s">
        <v>54</v>
      </c>
      <c r="B6" s="3" t="s">
        <v>37</v>
      </c>
      <c r="C6" s="3" t="s">
        <v>46</v>
      </c>
      <c r="D6" s="3" t="s">
        <v>55</v>
      </c>
      <c r="E6" s="3" t="s">
        <v>56</v>
      </c>
      <c r="F6" s="4">
        <v>46235</v>
      </c>
      <c r="G6" s="4">
        <v>46278</v>
      </c>
      <c r="H6" s="3" t="s">
        <v>49</v>
      </c>
      <c r="I6" s="3">
        <v>3</v>
      </c>
      <c r="J6" s="3">
        <v>5</v>
      </c>
      <c r="K6" s="3">
        <v>2</v>
      </c>
      <c r="L6" s="3">
        <v>2.5</v>
      </c>
      <c r="M6" s="3">
        <f t="shared" si="0"/>
        <v>71</v>
      </c>
      <c r="N6" s="3" t="s">
        <v>57</v>
      </c>
      <c r="O6" s="3">
        <v>4</v>
      </c>
      <c r="P6" s="3" t="s">
        <v>58</v>
      </c>
      <c r="Q6" s="3" t="s">
        <v>59</v>
      </c>
      <c r="R6" s="3" t="s">
        <v>60</v>
      </c>
    </row>
    <row r="7" spans="1:18" ht="41.4">
      <c r="A7" s="3" t="s">
        <v>61</v>
      </c>
      <c r="B7" s="3" t="s">
        <v>37</v>
      </c>
      <c r="C7" s="3" t="s">
        <v>20</v>
      </c>
      <c r="D7" s="3" t="s">
        <v>62</v>
      </c>
      <c r="E7" s="3" t="s">
        <v>63</v>
      </c>
      <c r="F7" s="4">
        <v>46244</v>
      </c>
      <c r="G7" s="4">
        <v>46275</v>
      </c>
      <c r="H7" s="3" t="s">
        <v>64</v>
      </c>
      <c r="I7" s="3">
        <v>5</v>
      </c>
      <c r="J7" s="3">
        <v>3</v>
      </c>
      <c r="K7" s="3">
        <v>3.5</v>
      </c>
      <c r="L7" s="3">
        <v>3</v>
      </c>
      <c r="M7" s="3">
        <f t="shared" si="0"/>
        <v>76.5</v>
      </c>
      <c r="N7" s="3" t="s">
        <v>65</v>
      </c>
      <c r="O7" s="3">
        <v>4</v>
      </c>
      <c r="P7" s="3" t="s">
        <v>66</v>
      </c>
      <c r="Q7" s="3" t="s">
        <v>67</v>
      </c>
      <c r="R7" s="3" t="s">
        <v>68</v>
      </c>
    </row>
    <row r="8" spans="1:18" ht="41.4">
      <c r="A8" s="3" t="s">
        <v>69</v>
      </c>
      <c r="B8" s="3" t="s">
        <v>37</v>
      </c>
      <c r="C8" s="3" t="s">
        <v>46</v>
      </c>
      <c r="D8" s="3" t="s">
        <v>70</v>
      </c>
      <c r="E8" s="3" t="s">
        <v>71</v>
      </c>
      <c r="F8" s="4">
        <v>46249</v>
      </c>
      <c r="G8" s="4">
        <v>46285</v>
      </c>
      <c r="H8" s="3" t="s">
        <v>49</v>
      </c>
      <c r="I8" s="3">
        <v>5</v>
      </c>
      <c r="J8" s="3">
        <v>5</v>
      </c>
      <c r="K8" s="3">
        <v>2.5</v>
      </c>
      <c r="L8" s="3">
        <v>1.5</v>
      </c>
      <c r="M8" s="3">
        <f t="shared" si="0"/>
        <v>78</v>
      </c>
      <c r="N8" s="3" t="s">
        <v>72</v>
      </c>
      <c r="O8" s="3">
        <v>3.5</v>
      </c>
      <c r="P8" s="3" t="s">
        <v>73</v>
      </c>
      <c r="Q8" s="3" t="s">
        <v>74</v>
      </c>
      <c r="R8" s="3" t="s">
        <v>75</v>
      </c>
    </row>
    <row r="9" spans="1:18" ht="41.4">
      <c r="A9" s="3" t="s">
        <v>76</v>
      </c>
      <c r="B9" s="3" t="s">
        <v>37</v>
      </c>
      <c r="C9" s="3" t="s">
        <v>46</v>
      </c>
      <c r="D9" s="3" t="s">
        <v>77</v>
      </c>
      <c r="E9" s="3" t="s">
        <v>78</v>
      </c>
      <c r="F9" s="4">
        <v>46251</v>
      </c>
      <c r="G9" s="4">
        <v>46284</v>
      </c>
      <c r="H9" s="3" t="s">
        <v>49</v>
      </c>
      <c r="I9" s="3">
        <v>4</v>
      </c>
      <c r="J9" s="3">
        <v>5</v>
      </c>
      <c r="K9" s="3">
        <v>2.5</v>
      </c>
      <c r="L9" s="3">
        <v>1.5</v>
      </c>
      <c r="M9" s="3">
        <f t="shared" si="0"/>
        <v>73</v>
      </c>
      <c r="N9" s="3" t="s">
        <v>79</v>
      </c>
      <c r="O9" s="3">
        <v>3.5</v>
      </c>
      <c r="P9" s="3" t="s">
        <v>80</v>
      </c>
      <c r="Q9" s="3" t="s">
        <v>81</v>
      </c>
      <c r="R9" s="3" t="s">
        <v>82</v>
      </c>
    </row>
    <row r="10" spans="1:18" ht="41.4">
      <c r="A10" s="3" t="s">
        <v>83</v>
      </c>
      <c r="B10" s="3" t="s">
        <v>37</v>
      </c>
      <c r="C10" s="3" t="s">
        <v>46</v>
      </c>
      <c r="D10" s="3" t="s">
        <v>38</v>
      </c>
      <c r="E10" s="3" t="s">
        <v>84</v>
      </c>
      <c r="F10" s="4">
        <v>46265</v>
      </c>
      <c r="G10" s="4">
        <v>46295</v>
      </c>
      <c r="H10" s="3" t="s">
        <v>49</v>
      </c>
      <c r="I10" s="3">
        <v>4</v>
      </c>
      <c r="J10" s="3">
        <v>4.5</v>
      </c>
      <c r="K10" s="3">
        <v>3</v>
      </c>
      <c r="L10" s="3">
        <v>1</v>
      </c>
      <c r="M10" s="3">
        <f t="shared" si="0"/>
        <v>68.5</v>
      </c>
      <c r="N10" s="3" t="s">
        <v>85</v>
      </c>
      <c r="O10" s="3">
        <v>3</v>
      </c>
      <c r="P10" s="3" t="s">
        <v>86</v>
      </c>
      <c r="Q10" s="3"/>
      <c r="R10" s="3" t="s">
        <v>87</v>
      </c>
    </row>
    <row r="11" spans="1:18" ht="41.4">
      <c r="A11" s="3" t="s">
        <v>88</v>
      </c>
      <c r="B11" s="3" t="s">
        <v>19</v>
      </c>
      <c r="C11" s="3" t="s">
        <v>20</v>
      </c>
      <c r="D11" s="3" t="s">
        <v>89</v>
      </c>
      <c r="E11" s="3" t="s">
        <v>90</v>
      </c>
      <c r="F11" s="4">
        <v>46274</v>
      </c>
      <c r="G11" s="4">
        <v>46290</v>
      </c>
      <c r="H11" s="3" t="s">
        <v>91</v>
      </c>
      <c r="I11" s="3">
        <v>5</v>
      </c>
      <c r="J11" s="3">
        <v>2.5</v>
      </c>
      <c r="K11" s="3">
        <v>3.5</v>
      </c>
      <c r="L11" s="3">
        <v>1</v>
      </c>
      <c r="M11" s="3">
        <f t="shared" si="0"/>
        <v>66.3</v>
      </c>
      <c r="N11" s="3" t="s">
        <v>92</v>
      </c>
      <c r="O11" s="3">
        <v>3.25</v>
      </c>
      <c r="P11" s="3" t="s">
        <v>93</v>
      </c>
      <c r="Q11" s="3" t="s">
        <v>94</v>
      </c>
      <c r="R11" s="3" t="s">
        <v>95</v>
      </c>
    </row>
    <row r="12" spans="1:18" ht="41.4">
      <c r="A12" s="3" t="s">
        <v>96</v>
      </c>
      <c r="B12" s="3" t="s">
        <v>37</v>
      </c>
      <c r="C12" s="3" t="s">
        <v>20</v>
      </c>
      <c r="D12" s="3" t="s">
        <v>97</v>
      </c>
      <c r="E12" s="3" t="s">
        <v>98</v>
      </c>
      <c r="F12" s="4">
        <v>46251</v>
      </c>
      <c r="G12" s="4">
        <v>46296</v>
      </c>
      <c r="H12" s="3" t="s">
        <v>91</v>
      </c>
      <c r="I12" s="3">
        <v>5</v>
      </c>
      <c r="J12" s="3">
        <v>2.5</v>
      </c>
      <c r="K12" s="3">
        <v>3.5</v>
      </c>
      <c r="L12" s="3">
        <v>1</v>
      </c>
      <c r="M12" s="3">
        <f t="shared" si="0"/>
        <v>62.5</v>
      </c>
      <c r="N12" s="3" t="s">
        <v>99</v>
      </c>
      <c r="O12" s="3">
        <v>2.5</v>
      </c>
      <c r="P12" s="3" t="s">
        <v>100</v>
      </c>
      <c r="Q12" s="3"/>
      <c r="R12" s="3" t="s">
        <v>101</v>
      </c>
    </row>
    <row r="13" spans="1:18" ht="41.4">
      <c r="A13" s="3" t="s">
        <v>102</v>
      </c>
      <c r="B13" s="3" t="s">
        <v>37</v>
      </c>
      <c r="C13" s="3" t="s">
        <v>20</v>
      </c>
      <c r="D13" s="3" t="s">
        <v>103</v>
      </c>
      <c r="E13" s="3" t="s">
        <v>104</v>
      </c>
      <c r="F13" s="4">
        <v>46234</v>
      </c>
      <c r="G13" s="4">
        <v>46264</v>
      </c>
      <c r="H13" s="3" t="s">
        <v>105</v>
      </c>
      <c r="I13" s="3">
        <v>3.5</v>
      </c>
      <c r="J13" s="3">
        <v>3</v>
      </c>
      <c r="K13" s="3">
        <v>3.5</v>
      </c>
      <c r="L13" s="3">
        <v>4</v>
      </c>
      <c r="M13" s="3">
        <f t="shared" si="0"/>
        <v>76</v>
      </c>
      <c r="N13" s="3" t="s">
        <v>106</v>
      </c>
      <c r="O13" s="3">
        <v>5</v>
      </c>
      <c r="P13" s="3" t="s">
        <v>107</v>
      </c>
      <c r="Q13" s="3" t="s">
        <v>108</v>
      </c>
      <c r="R13" s="3" t="s">
        <v>109</v>
      </c>
    </row>
    <row r="14" spans="1:18" ht="41.4">
      <c r="A14" s="3" t="s">
        <v>110</v>
      </c>
      <c r="B14" s="3" t="s">
        <v>37</v>
      </c>
      <c r="C14" s="3" t="s">
        <v>20</v>
      </c>
      <c r="D14" s="3" t="s">
        <v>111</v>
      </c>
      <c r="E14" s="3" t="s">
        <v>112</v>
      </c>
      <c r="F14" s="4">
        <v>46230</v>
      </c>
      <c r="G14" s="4">
        <v>46280</v>
      </c>
      <c r="H14" s="3" t="s">
        <v>113</v>
      </c>
      <c r="I14" s="3">
        <v>2.5</v>
      </c>
      <c r="J14" s="3">
        <v>2.5</v>
      </c>
      <c r="K14" s="3">
        <v>3.5</v>
      </c>
      <c r="L14" s="3">
        <v>2.5</v>
      </c>
      <c r="M14" s="3">
        <f t="shared" si="0"/>
        <v>58</v>
      </c>
      <c r="N14" s="3" t="s">
        <v>114</v>
      </c>
      <c r="O14" s="3">
        <v>3.5</v>
      </c>
      <c r="P14" s="3" t="s">
        <v>115</v>
      </c>
      <c r="Q14" s="3" t="s">
        <v>116</v>
      </c>
      <c r="R14" s="3" t="s">
        <v>117</v>
      </c>
    </row>
    <row r="15" spans="1:18" ht="41.4">
      <c r="A15" s="3" t="s">
        <v>118</v>
      </c>
      <c r="B15" s="3" t="s">
        <v>19</v>
      </c>
      <c r="C15" s="3" t="s">
        <v>119</v>
      </c>
      <c r="D15" s="3" t="s">
        <v>120</v>
      </c>
      <c r="E15" s="3" t="s">
        <v>121</v>
      </c>
      <c r="F15" s="4">
        <v>46241</v>
      </c>
      <c r="G15" s="4" t="s">
        <v>122</v>
      </c>
      <c r="H15" s="3" t="s">
        <v>120</v>
      </c>
      <c r="I15" s="3">
        <v>4</v>
      </c>
      <c r="J15" s="3">
        <v>1</v>
      </c>
      <c r="K15" s="3">
        <v>3</v>
      </c>
      <c r="L15" s="3">
        <v>1</v>
      </c>
      <c r="M15" s="3">
        <f t="shared" si="0"/>
        <v>41</v>
      </c>
      <c r="N15" s="3" t="s">
        <v>123</v>
      </c>
      <c r="O15" s="3">
        <v>1</v>
      </c>
      <c r="P15" s="3" t="s">
        <v>124</v>
      </c>
      <c r="Q15" s="3"/>
      <c r="R15" s="3" t="s">
        <v>125</v>
      </c>
    </row>
    <row r="16" spans="1:18" ht="27.6">
      <c r="A16" s="3" t="s">
        <v>126</v>
      </c>
      <c r="B16" s="3" t="s">
        <v>37</v>
      </c>
      <c r="C16" s="3" t="s">
        <v>127</v>
      </c>
      <c r="D16" s="3" t="s">
        <v>128</v>
      </c>
      <c r="E16" s="3" t="s">
        <v>129</v>
      </c>
      <c r="F16" s="4">
        <v>46250</v>
      </c>
      <c r="G16" s="4">
        <v>46325</v>
      </c>
      <c r="H16" s="3" t="s">
        <v>91</v>
      </c>
      <c r="I16" s="3">
        <v>2.5</v>
      </c>
      <c r="J16" s="3">
        <v>1.5</v>
      </c>
      <c r="K16" s="3">
        <v>3.5</v>
      </c>
      <c r="L16" s="3">
        <v>0</v>
      </c>
      <c r="M16" s="3">
        <f t="shared" si="0"/>
        <v>38</v>
      </c>
      <c r="N16" s="3" t="s">
        <v>130</v>
      </c>
      <c r="O16" s="3">
        <v>1.5</v>
      </c>
      <c r="P16" s="3" t="s">
        <v>131</v>
      </c>
      <c r="Q16" s="3"/>
      <c r="R16" s="3" t="s">
        <v>132</v>
      </c>
    </row>
    <row r="17" spans="1:18" ht="27.6">
      <c r="A17" s="3" t="s">
        <v>133</v>
      </c>
      <c r="B17" s="3" t="s">
        <v>37</v>
      </c>
      <c r="C17" s="3" t="s">
        <v>46</v>
      </c>
      <c r="D17" s="3" t="s">
        <v>134</v>
      </c>
      <c r="E17" s="3" t="s">
        <v>135</v>
      </c>
      <c r="F17" s="4">
        <v>46255</v>
      </c>
      <c r="G17" s="4">
        <v>46319</v>
      </c>
      <c r="H17" s="3" t="s">
        <v>49</v>
      </c>
      <c r="I17" s="3">
        <v>4</v>
      </c>
      <c r="J17" s="3">
        <v>5</v>
      </c>
      <c r="K17" s="3">
        <v>1.5</v>
      </c>
      <c r="L17" s="3">
        <v>0</v>
      </c>
      <c r="M17" s="3">
        <f t="shared" si="0"/>
        <v>57</v>
      </c>
      <c r="N17" s="3" t="s">
        <v>136</v>
      </c>
      <c r="O17" s="3">
        <v>1.5</v>
      </c>
      <c r="P17" s="3" t="s">
        <v>137</v>
      </c>
      <c r="Q17" s="3" t="s">
        <v>138</v>
      </c>
      <c r="R17" s="3" t="s">
        <v>139</v>
      </c>
    </row>
    <row r="18" spans="1:18" ht="41.4">
      <c r="A18" s="3" t="s">
        <v>140</v>
      </c>
      <c r="B18" s="3" t="s">
        <v>37</v>
      </c>
      <c r="C18" s="3" t="s">
        <v>46</v>
      </c>
      <c r="D18" s="3" t="s">
        <v>141</v>
      </c>
      <c r="E18" s="3" t="s">
        <v>142</v>
      </c>
      <c r="F18" s="4">
        <v>46280</v>
      </c>
      <c r="G18" s="4">
        <v>46310</v>
      </c>
      <c r="H18" s="3" t="s">
        <v>49</v>
      </c>
      <c r="I18" s="3">
        <v>1.5</v>
      </c>
      <c r="J18" s="3">
        <v>4.5</v>
      </c>
      <c r="K18" s="3">
        <v>2</v>
      </c>
      <c r="L18" s="3">
        <v>0</v>
      </c>
      <c r="M18" s="3">
        <f t="shared" si="0"/>
        <v>46</v>
      </c>
      <c r="N18" s="3" t="s">
        <v>143</v>
      </c>
      <c r="O18" s="3">
        <v>2</v>
      </c>
      <c r="P18" s="3" t="s">
        <v>144</v>
      </c>
      <c r="Q18" s="3"/>
      <c r="R18" s="3" t="s">
        <v>145</v>
      </c>
    </row>
    <row r="19" spans="1:18" ht="41.4">
      <c r="A19" s="3" t="s">
        <v>146</v>
      </c>
      <c r="B19" s="3" t="s">
        <v>147</v>
      </c>
      <c r="C19" s="3" t="s">
        <v>148</v>
      </c>
      <c r="D19" s="3" t="s">
        <v>149</v>
      </c>
      <c r="E19" s="3" t="s">
        <v>150</v>
      </c>
      <c r="F19" s="4">
        <v>46280</v>
      </c>
      <c r="G19" s="4">
        <v>46310</v>
      </c>
      <c r="H19" s="3" t="s">
        <v>151</v>
      </c>
      <c r="I19" s="3">
        <v>4</v>
      </c>
      <c r="J19" s="3">
        <v>3</v>
      </c>
      <c r="K19" s="3">
        <v>4</v>
      </c>
      <c r="L19" s="3">
        <v>0</v>
      </c>
      <c r="M19" s="3">
        <f t="shared" si="0"/>
        <v>49.5</v>
      </c>
      <c r="N19" s="3" t="s">
        <v>152</v>
      </c>
      <c r="O19" s="3">
        <v>0.5</v>
      </c>
      <c r="P19" s="3" t="s">
        <v>153</v>
      </c>
      <c r="Q19" s="3" t="s">
        <v>154</v>
      </c>
      <c r="R19" s="3" t="s">
        <v>155</v>
      </c>
    </row>
    <row r="20" spans="1:18" ht="41.4">
      <c r="A20" s="3" t="s">
        <v>156</v>
      </c>
      <c r="B20" s="3" t="s">
        <v>19</v>
      </c>
      <c r="C20" s="3" t="s">
        <v>157</v>
      </c>
      <c r="D20" s="3" t="s">
        <v>38</v>
      </c>
      <c r="E20" s="3" t="s">
        <v>158</v>
      </c>
      <c r="F20" s="4">
        <v>46263</v>
      </c>
      <c r="G20" s="4">
        <v>46294</v>
      </c>
      <c r="H20" s="3" t="s">
        <v>159</v>
      </c>
      <c r="I20" s="3">
        <v>0.5</v>
      </c>
      <c r="J20" s="3">
        <v>1</v>
      </c>
      <c r="K20" s="3">
        <v>4</v>
      </c>
      <c r="L20" s="3">
        <v>1</v>
      </c>
      <c r="M20" s="3">
        <f t="shared" si="0"/>
        <v>36.5</v>
      </c>
      <c r="N20" s="3" t="s">
        <v>160</v>
      </c>
      <c r="O20" s="3">
        <v>3</v>
      </c>
      <c r="P20" s="3" t="s">
        <v>161</v>
      </c>
      <c r="Q20" s="3" t="s">
        <v>162</v>
      </c>
      <c r="R20" s="3" t="s">
        <v>163</v>
      </c>
    </row>
  </sheetData>
  <conditionalFormatting sqref="I2:O2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M2:M20">
    <cfRule type="dataBar" priority="2">
      <dataBar>
        <cfvo type="min"/>
        <cfvo type="max"/>
        <color rgb="FF2563EB"/>
      </dataBar>
    </cfRule>
    <cfRule type="dataBar" priority="6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{96818A5A-1260-8517-DE30-CAD890C0302A}</x14:id>
        </ext>
      </extLst>
    </cfRule>
  </conditionalFormatting>
  <conditionalFormatting sqref="N2:N20">
    <cfRule type="expression" dxfId="24" priority="3">
      <formula>LEFT(N2,9)="SHORTLIST"</formula>
    </cfRule>
    <cfRule type="expression" dxfId="23" priority="4">
      <formula>LEFT(N2,6)="REJECT"</formula>
    </cfRule>
    <cfRule type="expression" dxfId="22" priority="5">
      <formula>LEFT(N2,11)="CONDITIONAL"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818A5A-1260-8517-DE30-CAD890C0302A}">
            <x14:dataBar>
              <x14:cfvo type="min"/>
              <x14:cfvo type="max"/>
              <x14:negativeFillColor auto="1"/>
              <x14:axisColor auto="1"/>
            </x14:dataBar>
          </x14:cfRule>
          <xm:sqref>M2:M20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5"/>
  <sheetViews>
    <sheetView workbookViewId="0"/>
  </sheetViews>
  <sheetFormatPr defaultRowHeight="13.8"/>
  <cols>
    <col min="1" max="1" width="24" customWidth="1"/>
    <col min="2" max="2" width="16" customWidth="1"/>
    <col min="3" max="3" width="20" customWidth="1"/>
    <col min="4" max="4" width="28" customWidth="1"/>
    <col min="5" max="5" width="30" customWidth="1"/>
    <col min="6" max="7" width="13" customWidth="1"/>
    <col min="8" max="8" width="25" customWidth="1"/>
    <col min="9" max="12" width="13" customWidth="1"/>
    <col min="13" max="13" width="14" customWidth="1"/>
    <col min="14" max="14" width="38" customWidth="1"/>
    <col min="15" max="15" width="13" customWidth="1"/>
    <col min="16" max="17" width="42" customWidth="1"/>
    <col min="18" max="18" width="54" customWidth="1"/>
  </cols>
  <sheetData>
    <row r="1" spans="1:18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7.6">
      <c r="A2" s="3" t="s">
        <v>164</v>
      </c>
      <c r="B2" s="3" t="s">
        <v>37</v>
      </c>
      <c r="C2" s="3" t="s">
        <v>165</v>
      </c>
      <c r="D2" s="3" t="s">
        <v>141</v>
      </c>
      <c r="E2" s="3" t="s">
        <v>135</v>
      </c>
      <c r="F2" s="4">
        <v>46218</v>
      </c>
      <c r="G2" s="4">
        <v>46265</v>
      </c>
      <c r="H2" s="3" t="s">
        <v>49</v>
      </c>
      <c r="I2" s="3">
        <v>4</v>
      </c>
      <c r="J2" s="3">
        <v>5</v>
      </c>
      <c r="K2" s="3">
        <v>2.5</v>
      </c>
      <c r="L2" s="3">
        <v>5</v>
      </c>
      <c r="M2" s="3">
        <f t="shared" ref="M2:M15" si="0">ROUND(20*(0.25*O2+0.25*J2+0.25*I2+0.15*K2+0.1*L2),1)</f>
        <v>62.5</v>
      </c>
      <c r="N2" s="3" t="s">
        <v>166</v>
      </c>
      <c r="O2" s="3">
        <v>0</v>
      </c>
      <c r="P2" s="3" t="s">
        <v>167</v>
      </c>
      <c r="Q2" s="3" t="s">
        <v>168</v>
      </c>
      <c r="R2" s="3" t="s">
        <v>169</v>
      </c>
    </row>
    <row r="3" spans="1:18" ht="27.6">
      <c r="A3" s="3" t="s">
        <v>170</v>
      </c>
      <c r="B3" s="3" t="s">
        <v>19</v>
      </c>
      <c r="C3" s="3" t="s">
        <v>20</v>
      </c>
      <c r="D3" s="3" t="s">
        <v>171</v>
      </c>
      <c r="E3" s="3" t="s">
        <v>172</v>
      </c>
      <c r="F3" s="4">
        <v>46227</v>
      </c>
      <c r="G3" s="4" t="s">
        <v>173</v>
      </c>
      <c r="H3" s="3" t="s">
        <v>174</v>
      </c>
      <c r="I3" s="3">
        <v>5</v>
      </c>
      <c r="J3" s="3">
        <v>4</v>
      </c>
      <c r="K3" s="3">
        <v>3</v>
      </c>
      <c r="L3" s="3">
        <v>4</v>
      </c>
      <c r="M3" s="3">
        <f t="shared" si="0"/>
        <v>62</v>
      </c>
      <c r="N3" s="3" t="s">
        <v>175</v>
      </c>
      <c r="O3" s="3">
        <v>0</v>
      </c>
      <c r="P3" s="3" t="s">
        <v>176</v>
      </c>
      <c r="Q3" s="3"/>
      <c r="R3" s="3" t="s">
        <v>177</v>
      </c>
    </row>
    <row r="4" spans="1:18" ht="27.6">
      <c r="A4" s="3" t="s">
        <v>178</v>
      </c>
      <c r="B4" s="3" t="s">
        <v>19</v>
      </c>
      <c r="C4" s="3" t="s">
        <v>20</v>
      </c>
      <c r="D4" s="3" t="s">
        <v>171</v>
      </c>
      <c r="E4" s="3" t="s">
        <v>179</v>
      </c>
      <c r="F4" s="4">
        <v>46227</v>
      </c>
      <c r="G4" s="4">
        <v>46255</v>
      </c>
      <c r="H4" s="3" t="s">
        <v>174</v>
      </c>
      <c r="I4" s="3">
        <v>4.5</v>
      </c>
      <c r="J4" s="3">
        <v>4</v>
      </c>
      <c r="K4" s="3">
        <v>3</v>
      </c>
      <c r="L4" s="3">
        <v>4</v>
      </c>
      <c r="M4" s="3">
        <f t="shared" si="0"/>
        <v>59.5</v>
      </c>
      <c r="N4" s="3" t="s">
        <v>175</v>
      </c>
      <c r="O4" s="3">
        <v>0</v>
      </c>
      <c r="P4" s="3" t="s">
        <v>180</v>
      </c>
      <c r="Q4" s="3"/>
      <c r="R4" s="3" t="s">
        <v>181</v>
      </c>
    </row>
    <row r="5" spans="1:18" ht="41.4">
      <c r="A5" s="3" t="s">
        <v>182</v>
      </c>
      <c r="B5" s="3" t="s">
        <v>19</v>
      </c>
      <c r="C5" s="3" t="s">
        <v>20</v>
      </c>
      <c r="D5" s="3" t="s">
        <v>171</v>
      </c>
      <c r="E5" s="3" t="s">
        <v>183</v>
      </c>
      <c r="F5" s="4">
        <v>46227</v>
      </c>
      <c r="G5" s="4">
        <v>46255</v>
      </c>
      <c r="H5" s="3" t="s">
        <v>49</v>
      </c>
      <c r="I5" s="3">
        <v>3</v>
      </c>
      <c r="J5" s="3">
        <v>4</v>
      </c>
      <c r="K5" s="3">
        <v>3</v>
      </c>
      <c r="L5" s="3">
        <v>4</v>
      </c>
      <c r="M5" s="3">
        <f t="shared" si="0"/>
        <v>54.5</v>
      </c>
      <c r="N5" s="3" t="s">
        <v>184</v>
      </c>
      <c r="O5" s="3">
        <v>0.5</v>
      </c>
      <c r="P5" s="3" t="s">
        <v>185</v>
      </c>
      <c r="Q5" s="3"/>
      <c r="R5" s="3" t="s">
        <v>186</v>
      </c>
    </row>
    <row r="6" spans="1:18" ht="41.4">
      <c r="A6" s="3" t="s">
        <v>187</v>
      </c>
      <c r="B6" s="3" t="s">
        <v>19</v>
      </c>
      <c r="C6" s="3" t="s">
        <v>20</v>
      </c>
      <c r="D6" s="3" t="s">
        <v>171</v>
      </c>
      <c r="E6" s="3" t="s">
        <v>179</v>
      </c>
      <c r="F6" s="4">
        <v>46227</v>
      </c>
      <c r="G6" s="4" t="s">
        <v>122</v>
      </c>
      <c r="H6" s="3" t="s">
        <v>188</v>
      </c>
      <c r="I6" s="3">
        <v>3.5</v>
      </c>
      <c r="J6" s="3">
        <v>3.5</v>
      </c>
      <c r="K6" s="3">
        <v>3</v>
      </c>
      <c r="L6" s="3">
        <v>3</v>
      </c>
      <c r="M6" s="3">
        <f t="shared" si="0"/>
        <v>52.5</v>
      </c>
      <c r="N6" s="3" t="s">
        <v>189</v>
      </c>
      <c r="O6" s="3">
        <v>0.5</v>
      </c>
      <c r="P6" s="3" t="s">
        <v>190</v>
      </c>
      <c r="Q6" s="3"/>
      <c r="R6" s="3" t="s">
        <v>191</v>
      </c>
    </row>
    <row r="7" spans="1:18" ht="27.6">
      <c r="A7" s="3" t="s">
        <v>192</v>
      </c>
      <c r="B7" s="3" t="s">
        <v>19</v>
      </c>
      <c r="C7" s="3" t="s">
        <v>20</v>
      </c>
      <c r="D7" s="3" t="s">
        <v>171</v>
      </c>
      <c r="E7" s="3" t="s">
        <v>179</v>
      </c>
      <c r="F7" s="4">
        <v>46229</v>
      </c>
      <c r="G7" s="4" t="s">
        <v>122</v>
      </c>
      <c r="H7" s="3" t="s">
        <v>188</v>
      </c>
      <c r="I7" s="3">
        <v>2</v>
      </c>
      <c r="J7" s="3">
        <v>3.5</v>
      </c>
      <c r="K7" s="3">
        <v>3</v>
      </c>
      <c r="L7" s="3">
        <v>3</v>
      </c>
      <c r="M7" s="3">
        <f t="shared" si="0"/>
        <v>45</v>
      </c>
      <c r="N7" s="3" t="s">
        <v>193</v>
      </c>
      <c r="O7" s="3">
        <v>0.5</v>
      </c>
      <c r="P7" s="3" t="s">
        <v>194</v>
      </c>
      <c r="Q7" s="3"/>
      <c r="R7" s="3" t="s">
        <v>195</v>
      </c>
    </row>
    <row r="8" spans="1:18" ht="41.4">
      <c r="A8" s="3" t="s">
        <v>196</v>
      </c>
      <c r="B8" s="3" t="s">
        <v>19</v>
      </c>
      <c r="C8" s="3" t="s">
        <v>20</v>
      </c>
      <c r="D8" s="3" t="s">
        <v>197</v>
      </c>
      <c r="E8" s="3" t="s">
        <v>198</v>
      </c>
      <c r="F8" s="4">
        <v>46226</v>
      </c>
      <c r="G8" s="4">
        <v>46257</v>
      </c>
      <c r="H8" s="3" t="s">
        <v>91</v>
      </c>
      <c r="I8" s="3">
        <v>3.5</v>
      </c>
      <c r="J8" s="3">
        <v>2.5</v>
      </c>
      <c r="K8" s="3">
        <v>3</v>
      </c>
      <c r="L8" s="3">
        <v>5</v>
      </c>
      <c r="M8" s="3">
        <f t="shared" si="0"/>
        <v>49</v>
      </c>
      <c r="N8" s="3" t="s">
        <v>199</v>
      </c>
      <c r="O8" s="3">
        <v>0</v>
      </c>
      <c r="P8" s="3" t="s">
        <v>200</v>
      </c>
      <c r="Q8" s="3"/>
      <c r="R8" s="3" t="s">
        <v>201</v>
      </c>
    </row>
    <row r="9" spans="1:18">
      <c r="A9" s="3" t="s">
        <v>202</v>
      </c>
      <c r="B9" s="3" t="s">
        <v>37</v>
      </c>
      <c r="C9" s="3" t="s">
        <v>165</v>
      </c>
      <c r="D9" s="3" t="s">
        <v>141</v>
      </c>
      <c r="E9" s="3" t="s">
        <v>203</v>
      </c>
      <c r="F9" s="4">
        <v>46188</v>
      </c>
      <c r="G9" s="4" t="s">
        <v>204</v>
      </c>
      <c r="H9" s="3" t="s">
        <v>49</v>
      </c>
      <c r="I9" s="3">
        <v>5</v>
      </c>
      <c r="J9" s="3">
        <v>5</v>
      </c>
      <c r="K9" s="3">
        <v>2.5</v>
      </c>
      <c r="L9" s="3">
        <v>0</v>
      </c>
      <c r="M9" s="3">
        <f t="shared" si="0"/>
        <v>57.5</v>
      </c>
      <c r="N9" s="3" t="s">
        <v>205</v>
      </c>
      <c r="O9" s="3">
        <v>0</v>
      </c>
      <c r="P9" s="3" t="s">
        <v>206</v>
      </c>
      <c r="Q9" s="3"/>
      <c r="R9" s="3" t="s">
        <v>207</v>
      </c>
    </row>
    <row r="10" spans="1:18" ht="41.4">
      <c r="A10" s="3" t="s">
        <v>208</v>
      </c>
      <c r="B10" s="3" t="s">
        <v>37</v>
      </c>
      <c r="C10" s="3" t="s">
        <v>165</v>
      </c>
      <c r="D10" s="3" t="s">
        <v>209</v>
      </c>
      <c r="E10" s="3" t="s">
        <v>210</v>
      </c>
      <c r="F10" s="4">
        <v>46163</v>
      </c>
      <c r="G10" s="4">
        <v>46219</v>
      </c>
      <c r="H10" s="3" t="s">
        <v>49</v>
      </c>
      <c r="I10" s="3">
        <v>3.5</v>
      </c>
      <c r="J10" s="3">
        <v>5</v>
      </c>
      <c r="K10" s="3">
        <v>1.5</v>
      </c>
      <c r="L10" s="3">
        <v>0</v>
      </c>
      <c r="M10" s="3">
        <f t="shared" si="0"/>
        <v>47</v>
      </c>
      <c r="N10" s="3" t="s">
        <v>205</v>
      </c>
      <c r="O10" s="3">
        <v>0</v>
      </c>
      <c r="P10" s="3" t="s">
        <v>211</v>
      </c>
      <c r="Q10" s="3"/>
      <c r="R10" s="3" t="s">
        <v>212</v>
      </c>
    </row>
    <row r="11" spans="1:18">
      <c r="A11" s="3" t="s">
        <v>213</v>
      </c>
      <c r="B11" s="3" t="s">
        <v>19</v>
      </c>
      <c r="C11" s="3" t="s">
        <v>20</v>
      </c>
      <c r="D11" s="3" t="s">
        <v>171</v>
      </c>
      <c r="E11" s="3" t="s">
        <v>214</v>
      </c>
      <c r="F11" s="4">
        <v>46159</v>
      </c>
      <c r="G11" s="4" t="s">
        <v>204</v>
      </c>
      <c r="H11" s="3" t="s">
        <v>174</v>
      </c>
      <c r="I11" s="3">
        <v>4.5</v>
      </c>
      <c r="J11" s="3">
        <v>4</v>
      </c>
      <c r="K11" s="3">
        <v>3</v>
      </c>
      <c r="L11" s="3">
        <v>0</v>
      </c>
      <c r="M11" s="3">
        <f t="shared" si="0"/>
        <v>51.5</v>
      </c>
      <c r="N11" s="3" t="s">
        <v>205</v>
      </c>
      <c r="O11" s="3">
        <v>0</v>
      </c>
      <c r="P11" s="3" t="s">
        <v>215</v>
      </c>
      <c r="Q11" s="3"/>
      <c r="R11" s="3" t="s">
        <v>216</v>
      </c>
    </row>
    <row r="12" spans="1:18" ht="27.6">
      <c r="A12" s="3" t="s">
        <v>217</v>
      </c>
      <c r="B12" s="3" t="s">
        <v>37</v>
      </c>
      <c r="C12" s="3" t="s">
        <v>165</v>
      </c>
      <c r="D12" s="3" t="s">
        <v>218</v>
      </c>
      <c r="E12" s="3" t="s">
        <v>219</v>
      </c>
      <c r="F12" s="4">
        <v>46089</v>
      </c>
      <c r="G12" s="4">
        <v>46125</v>
      </c>
      <c r="H12" s="3" t="s">
        <v>49</v>
      </c>
      <c r="I12" s="3">
        <v>4.5</v>
      </c>
      <c r="J12" s="3">
        <v>5</v>
      </c>
      <c r="K12" s="3">
        <v>3</v>
      </c>
      <c r="L12" s="3">
        <v>0</v>
      </c>
      <c r="M12" s="3">
        <f t="shared" si="0"/>
        <v>56.5</v>
      </c>
      <c r="N12" s="3" t="s">
        <v>205</v>
      </c>
      <c r="O12" s="3">
        <v>0</v>
      </c>
      <c r="P12" s="3" t="s">
        <v>220</v>
      </c>
      <c r="Q12" s="3" t="s">
        <v>221</v>
      </c>
      <c r="R12" s="3" t="s">
        <v>222</v>
      </c>
    </row>
    <row r="13" spans="1:18" ht="27.6">
      <c r="A13" s="3" t="s">
        <v>223</v>
      </c>
      <c r="B13" s="3" t="s">
        <v>37</v>
      </c>
      <c r="C13" s="3" t="s">
        <v>165</v>
      </c>
      <c r="D13" s="3" t="s">
        <v>141</v>
      </c>
      <c r="E13" s="3" t="s">
        <v>48</v>
      </c>
      <c r="F13" s="4">
        <v>46113</v>
      </c>
      <c r="G13" s="4">
        <v>46152</v>
      </c>
      <c r="H13" s="3" t="s">
        <v>49</v>
      </c>
      <c r="I13" s="3">
        <v>4</v>
      </c>
      <c r="J13" s="3">
        <v>5</v>
      </c>
      <c r="K13" s="3">
        <v>2.5</v>
      </c>
      <c r="L13" s="3">
        <v>0</v>
      </c>
      <c r="M13" s="3">
        <f t="shared" si="0"/>
        <v>52.5</v>
      </c>
      <c r="N13" s="3" t="s">
        <v>205</v>
      </c>
      <c r="O13" s="3">
        <v>0</v>
      </c>
      <c r="P13" s="3" t="s">
        <v>224</v>
      </c>
      <c r="Q13" s="3"/>
      <c r="R13" s="3" t="s">
        <v>225</v>
      </c>
    </row>
    <row r="14" spans="1:18" ht="27.6">
      <c r="A14" s="3" t="s">
        <v>226</v>
      </c>
      <c r="B14" s="3" t="s">
        <v>227</v>
      </c>
      <c r="C14" s="3" t="s">
        <v>228</v>
      </c>
      <c r="D14" s="3" t="s">
        <v>229</v>
      </c>
      <c r="E14" s="3" t="s">
        <v>230</v>
      </c>
      <c r="F14" s="4">
        <v>46148</v>
      </c>
      <c r="G14" s="4">
        <v>46289</v>
      </c>
      <c r="H14" s="3" t="s">
        <v>49</v>
      </c>
      <c r="I14" s="3">
        <v>4</v>
      </c>
      <c r="J14" s="3">
        <v>5</v>
      </c>
      <c r="K14" s="3">
        <v>1</v>
      </c>
      <c r="L14" s="3">
        <v>0</v>
      </c>
      <c r="M14" s="3">
        <f t="shared" si="0"/>
        <v>48</v>
      </c>
      <c r="N14" s="3" t="s">
        <v>205</v>
      </c>
      <c r="O14" s="3">
        <v>0</v>
      </c>
      <c r="P14" s="3" t="s">
        <v>231</v>
      </c>
      <c r="Q14" s="3"/>
      <c r="R14" s="3" t="s">
        <v>232</v>
      </c>
    </row>
    <row r="15" spans="1:18" ht="55.2">
      <c r="A15" s="3" t="s">
        <v>233</v>
      </c>
      <c r="B15" s="3" t="s">
        <v>234</v>
      </c>
      <c r="C15" s="3" t="s">
        <v>235</v>
      </c>
      <c r="D15" s="3" t="s">
        <v>236</v>
      </c>
      <c r="E15" s="3" t="s">
        <v>237</v>
      </c>
      <c r="F15" s="4">
        <v>46263</v>
      </c>
      <c r="G15" s="4">
        <v>46294</v>
      </c>
      <c r="H15" s="3" t="s">
        <v>238</v>
      </c>
      <c r="I15" s="3">
        <v>2.5</v>
      </c>
      <c r="J15" s="3">
        <v>1</v>
      </c>
      <c r="K15" s="3">
        <v>3</v>
      </c>
      <c r="L15" s="3">
        <v>1</v>
      </c>
      <c r="M15" s="3">
        <f t="shared" si="0"/>
        <v>43.5</v>
      </c>
      <c r="N15" s="3" t="s">
        <v>239</v>
      </c>
      <c r="O15" s="3">
        <v>3</v>
      </c>
      <c r="P15" s="3" t="s">
        <v>240</v>
      </c>
      <c r="Q15" s="3" t="s">
        <v>241</v>
      </c>
      <c r="R15" s="3" t="s">
        <v>242</v>
      </c>
    </row>
  </sheetData>
  <conditionalFormatting sqref="I2:O15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N2:N15">
    <cfRule type="expression" dxfId="21" priority="2">
      <formula>LEFT(N2,6)="CLOSED"</formula>
    </cfRule>
    <cfRule type="expression" dxfId="20" priority="3">
      <formula>LEFT(N2,6)="REJECT"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defaultRowHeight="13.8"/>
  <cols>
    <col min="1" max="1" width="28" customWidth="1"/>
    <col min="2" max="2" width="100" customWidth="1"/>
  </cols>
  <sheetData>
    <row r="1" spans="1:2">
      <c r="A1" s="1" t="s">
        <v>243</v>
      </c>
      <c r="B1" s="1"/>
    </row>
    <row r="2" spans="1:2">
      <c r="A2" s="3" t="s">
        <v>244</v>
      </c>
      <c r="B2" s="3" t="s">
        <v>245</v>
      </c>
    </row>
    <row r="3" spans="1:2" ht="27.6">
      <c r="A3" s="3" t="s">
        <v>246</v>
      </c>
      <c r="B3" s="3" t="s">
        <v>247</v>
      </c>
    </row>
    <row r="4" spans="1:2" ht="27.6">
      <c r="A4" s="3" t="s">
        <v>248</v>
      </c>
      <c r="B4" s="3" t="s">
        <v>249</v>
      </c>
    </row>
    <row r="5" spans="1:2">
      <c r="A5" s="3"/>
      <c r="B5" s="3"/>
    </row>
    <row r="6" spans="1:2" ht="41.4">
      <c r="A6" s="3" t="s">
        <v>250</v>
      </c>
      <c r="B6" s="3" t="s">
        <v>251</v>
      </c>
    </row>
    <row r="7" spans="1:2" ht="27.6">
      <c r="A7" s="3" t="s">
        <v>252</v>
      </c>
      <c r="B7" s="3" t="s">
        <v>253</v>
      </c>
    </row>
    <row r="8" spans="1:2">
      <c r="A8" s="3"/>
      <c r="B8" s="3"/>
    </row>
    <row r="9" spans="1:2">
      <c r="A9" s="5" t="s">
        <v>254</v>
      </c>
      <c r="B9" s="5" t="s">
        <v>255</v>
      </c>
    </row>
    <row r="10" spans="1:2">
      <c r="A10" s="3" t="s">
        <v>14</v>
      </c>
      <c r="B10" s="6">
        <v>0.25</v>
      </c>
    </row>
    <row r="11" spans="1:2">
      <c r="A11" s="3" t="s">
        <v>9</v>
      </c>
      <c r="B11" s="6">
        <v>0.25</v>
      </c>
    </row>
    <row r="12" spans="1:2">
      <c r="A12" s="3" t="s">
        <v>8</v>
      </c>
      <c r="B12" s="6">
        <v>0.25</v>
      </c>
    </row>
    <row r="13" spans="1:2">
      <c r="A13" s="3" t="s">
        <v>10</v>
      </c>
      <c r="B13" s="6">
        <v>0.15</v>
      </c>
    </row>
    <row r="14" spans="1:2">
      <c r="A14" s="3" t="s">
        <v>11</v>
      </c>
      <c r="B14" s="6">
        <v>0.1</v>
      </c>
    </row>
    <row r="15" spans="1:2">
      <c r="A15" s="3"/>
      <c r="B15" s="3"/>
    </row>
    <row r="16" spans="1:2">
      <c r="A16" s="3" t="s">
        <v>256</v>
      </c>
      <c r="B16" s="3" t="s">
        <v>257</v>
      </c>
    </row>
    <row r="17" spans="1:2" ht="27.6">
      <c r="A17" s="3" t="s">
        <v>258</v>
      </c>
      <c r="B17" s="3" t="s">
        <v>259</v>
      </c>
    </row>
    <row r="18" spans="1:2">
      <c r="A18" s="3" t="s">
        <v>260</v>
      </c>
      <c r="B18" s="3" t="s">
        <v>261</v>
      </c>
    </row>
    <row r="19" spans="1:2">
      <c r="A19" s="3" t="s">
        <v>262</v>
      </c>
      <c r="B19" s="3" t="s">
        <v>263</v>
      </c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RowHeight="13.8"/>
  <cols>
    <col min="1" max="1" width="24" customWidth="1"/>
    <col min="2" max="2" width="62" customWidth="1"/>
    <col min="3" max="3" width="72" customWidth="1"/>
  </cols>
  <sheetData>
    <row r="1" spans="1:3">
      <c r="A1" s="2" t="s">
        <v>264</v>
      </c>
      <c r="B1" s="2" t="s">
        <v>265</v>
      </c>
      <c r="C1" s="2" t="s">
        <v>266</v>
      </c>
    </row>
    <row r="2" spans="1:3" ht="27.6">
      <c r="A2" s="3" t="s">
        <v>267</v>
      </c>
      <c r="B2" s="3" t="s">
        <v>268</v>
      </c>
      <c r="C2" s="3" t="s">
        <v>269</v>
      </c>
    </row>
    <row r="3" spans="1:3" ht="27.6">
      <c r="A3" s="3" t="s">
        <v>270</v>
      </c>
      <c r="B3" s="3" t="s">
        <v>271</v>
      </c>
      <c r="C3" s="3" t="s">
        <v>272</v>
      </c>
    </row>
    <row r="4" spans="1:3">
      <c r="A4" s="3" t="s">
        <v>273</v>
      </c>
      <c r="B4" s="3" t="s">
        <v>274</v>
      </c>
      <c r="C4" s="3" t="s">
        <v>275</v>
      </c>
    </row>
    <row r="5" spans="1:3">
      <c r="A5" s="3" t="s">
        <v>273</v>
      </c>
      <c r="B5" s="3" t="s">
        <v>276</v>
      </c>
      <c r="C5" s="3" t="s">
        <v>277</v>
      </c>
    </row>
    <row r="6" spans="1:3">
      <c r="A6" s="3" t="s">
        <v>278</v>
      </c>
      <c r="B6" s="3" t="s">
        <v>279</v>
      </c>
      <c r="C6" s="3" t="s">
        <v>280</v>
      </c>
    </row>
    <row r="7" spans="1:3">
      <c r="A7" s="3" t="s">
        <v>281</v>
      </c>
      <c r="B7" s="3" t="s">
        <v>282</v>
      </c>
      <c r="C7" s="3" t="s">
        <v>283</v>
      </c>
    </row>
    <row r="8" spans="1:3">
      <c r="A8" s="3" t="s">
        <v>284</v>
      </c>
      <c r="B8" s="3" t="s">
        <v>285</v>
      </c>
      <c r="C8" s="3" t="s">
        <v>286</v>
      </c>
    </row>
    <row r="9" spans="1:3">
      <c r="A9" s="3" t="s">
        <v>287</v>
      </c>
      <c r="B9" s="3" t="s">
        <v>240</v>
      </c>
      <c r="C9" s="3" t="s">
        <v>288</v>
      </c>
    </row>
    <row r="10" spans="1:3">
      <c r="A10" s="3" t="s">
        <v>289</v>
      </c>
      <c r="B10" s="3" t="s">
        <v>290</v>
      </c>
      <c r="C10" s="3" t="s">
        <v>291</v>
      </c>
    </row>
    <row r="11" spans="1:3">
      <c r="A11" s="3" t="s">
        <v>292</v>
      </c>
      <c r="B11" s="3" t="s">
        <v>59</v>
      </c>
      <c r="C11" s="3" t="s">
        <v>293</v>
      </c>
    </row>
    <row r="12" spans="1:3">
      <c r="A12" s="3" t="s">
        <v>292</v>
      </c>
      <c r="B12" s="3" t="s">
        <v>294</v>
      </c>
      <c r="C12" s="3" t="s">
        <v>295</v>
      </c>
    </row>
    <row r="13" spans="1:3">
      <c r="A13" s="3" t="s">
        <v>292</v>
      </c>
      <c r="B13" s="3" t="s">
        <v>296</v>
      </c>
      <c r="C13" s="3" t="s">
        <v>297</v>
      </c>
    </row>
    <row r="14" spans="1:3">
      <c r="A14" s="3" t="s">
        <v>298</v>
      </c>
      <c r="B14" s="3" t="s">
        <v>299</v>
      </c>
      <c r="C14" s="3" t="s">
        <v>300</v>
      </c>
    </row>
    <row r="15" spans="1:3">
      <c r="A15" s="3" t="s">
        <v>298</v>
      </c>
      <c r="B15" s="3" t="s">
        <v>301</v>
      </c>
      <c r="C15" s="3" t="s">
        <v>302</v>
      </c>
    </row>
    <row r="16" spans="1:3">
      <c r="A16" s="3" t="s">
        <v>303</v>
      </c>
      <c r="B16" s="3" t="s">
        <v>304</v>
      </c>
      <c r="C16" s="3" t="s">
        <v>305</v>
      </c>
    </row>
    <row r="17" spans="1:3">
      <c r="A17" s="3" t="s">
        <v>306</v>
      </c>
      <c r="B17" s="3" t="s">
        <v>307</v>
      </c>
      <c r="C17" s="3" t="s">
        <v>308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4"/>
  <sheetViews>
    <sheetView workbookViewId="0"/>
  </sheetViews>
  <sheetFormatPr defaultRowHeight="13.8"/>
  <cols>
    <col min="1" max="1" width="25" customWidth="1"/>
    <col min="2" max="2" width="16" customWidth="1"/>
    <col min="3" max="3" width="21" customWidth="1"/>
    <col min="4" max="4" width="30" customWidth="1"/>
    <col min="5" max="5" width="32" customWidth="1"/>
    <col min="6" max="7" width="13" customWidth="1"/>
    <col min="8" max="8" width="26" customWidth="1"/>
    <col min="9" max="12" width="12" customWidth="1"/>
    <col min="13" max="13" width="14" customWidth="1"/>
    <col min="14" max="14" width="42" customWidth="1"/>
    <col min="15" max="15" width="12" customWidth="1"/>
    <col min="16" max="16" width="27" customWidth="1"/>
    <col min="17" max="17" width="48" customWidth="1"/>
    <col min="18" max="18" width="22" customWidth="1"/>
    <col min="19" max="19" width="52" customWidth="1"/>
    <col min="20" max="21" width="46" customWidth="1"/>
    <col min="22" max="22" width="58" customWidth="1"/>
  </cols>
  <sheetData>
    <row r="1" spans="1:22" ht="27.6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309</v>
      </c>
      <c r="Q1" s="7" t="s">
        <v>310</v>
      </c>
      <c r="R1" s="7" t="s">
        <v>311</v>
      </c>
      <c r="S1" s="7" t="s">
        <v>312</v>
      </c>
      <c r="T1" s="7" t="s">
        <v>15</v>
      </c>
      <c r="U1" s="7" t="s">
        <v>16</v>
      </c>
      <c r="V1" s="7" t="s">
        <v>313</v>
      </c>
    </row>
    <row r="2" spans="1:22" ht="41.4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4">
        <v>46230</v>
      </c>
      <c r="G2" s="4">
        <v>46266</v>
      </c>
      <c r="H2" s="3" t="s">
        <v>23</v>
      </c>
      <c r="I2" s="3">
        <v>5</v>
      </c>
      <c r="J2" s="3">
        <v>4.5</v>
      </c>
      <c r="K2" s="3">
        <v>3</v>
      </c>
      <c r="L2" s="3">
        <v>4</v>
      </c>
      <c r="M2" s="3">
        <f t="shared" ref="M2:M31" si="0">ROUND(20*(0.25*O2+0.25*J2+0.25*I2+0.15*K2+0.1*L2),1)</f>
        <v>87</v>
      </c>
      <c r="N2" s="3" t="s">
        <v>24</v>
      </c>
      <c r="O2" s="3">
        <v>4.5</v>
      </c>
      <c r="P2" s="3" t="s">
        <v>314</v>
      </c>
      <c r="Q2" s="3" t="s">
        <v>315</v>
      </c>
      <c r="R2" s="3" t="s">
        <v>316</v>
      </c>
      <c r="S2" s="3" t="s">
        <v>317</v>
      </c>
      <c r="T2" s="3" t="s">
        <v>25</v>
      </c>
      <c r="U2" s="3" t="s">
        <v>26</v>
      </c>
      <c r="V2" s="3" t="s">
        <v>27</v>
      </c>
    </row>
    <row r="3" spans="1:22" ht="27.6">
      <c r="A3" s="3" t="s">
        <v>28</v>
      </c>
      <c r="B3" s="3" t="s">
        <v>19</v>
      </c>
      <c r="C3" s="3" t="s">
        <v>20</v>
      </c>
      <c r="D3" s="3" t="s">
        <v>29</v>
      </c>
      <c r="E3" s="3" t="s">
        <v>30</v>
      </c>
      <c r="F3" s="4">
        <v>46243</v>
      </c>
      <c r="G3" s="4">
        <v>46257</v>
      </c>
      <c r="H3" s="3" t="s">
        <v>31</v>
      </c>
      <c r="I3" s="3">
        <v>4</v>
      </c>
      <c r="J3" s="3">
        <v>3.5</v>
      </c>
      <c r="K3" s="3">
        <v>3.5</v>
      </c>
      <c r="L3" s="3">
        <v>5</v>
      </c>
      <c r="M3" s="3">
        <f t="shared" si="0"/>
        <v>83</v>
      </c>
      <c r="N3" s="3" t="s">
        <v>32</v>
      </c>
      <c r="O3" s="3">
        <v>5</v>
      </c>
      <c r="P3" s="3" t="s">
        <v>318</v>
      </c>
      <c r="Q3" s="3" t="s">
        <v>319</v>
      </c>
      <c r="R3" s="3" t="s">
        <v>320</v>
      </c>
      <c r="S3" s="3" t="s">
        <v>317</v>
      </c>
      <c r="T3" s="3" t="s">
        <v>33</v>
      </c>
      <c r="U3" s="3" t="s">
        <v>34</v>
      </c>
      <c r="V3" s="3" t="s">
        <v>35</v>
      </c>
    </row>
    <row r="4" spans="1:22" ht="41.4">
      <c r="A4" s="3" t="s">
        <v>36</v>
      </c>
      <c r="B4" s="3" t="s">
        <v>37</v>
      </c>
      <c r="C4" s="3" t="s">
        <v>20</v>
      </c>
      <c r="D4" s="3" t="s">
        <v>38</v>
      </c>
      <c r="E4" s="3" t="s">
        <v>39</v>
      </c>
      <c r="F4" s="4">
        <v>46233</v>
      </c>
      <c r="G4" s="4">
        <v>46244</v>
      </c>
      <c r="H4" s="3" t="s">
        <v>40</v>
      </c>
      <c r="I4" s="3">
        <v>4.5</v>
      </c>
      <c r="J4" s="3">
        <v>3</v>
      </c>
      <c r="K4" s="3">
        <v>3</v>
      </c>
      <c r="L4" s="3">
        <v>5</v>
      </c>
      <c r="M4" s="3">
        <f t="shared" si="0"/>
        <v>81.5</v>
      </c>
      <c r="N4" s="3" t="s">
        <v>41</v>
      </c>
      <c r="O4" s="3">
        <v>5</v>
      </c>
      <c r="P4" s="3" t="s">
        <v>321</v>
      </c>
      <c r="Q4" s="3" t="s">
        <v>322</v>
      </c>
      <c r="R4" s="3" t="s">
        <v>323</v>
      </c>
      <c r="S4" s="3" t="s">
        <v>317</v>
      </c>
      <c r="T4" s="3" t="s">
        <v>42</v>
      </c>
      <c r="U4" s="3" t="s">
        <v>43</v>
      </c>
      <c r="V4" s="3" t="s">
        <v>44</v>
      </c>
    </row>
    <row r="5" spans="1:22" ht="41.4">
      <c r="A5" s="3" t="s">
        <v>45</v>
      </c>
      <c r="B5" s="3" t="s">
        <v>37</v>
      </c>
      <c r="C5" s="3" t="s">
        <v>46</v>
      </c>
      <c r="D5" s="3" t="s">
        <v>47</v>
      </c>
      <c r="E5" s="3" t="s">
        <v>48</v>
      </c>
      <c r="F5" s="4">
        <v>46234</v>
      </c>
      <c r="G5" s="4">
        <v>46266</v>
      </c>
      <c r="H5" s="3" t="s">
        <v>49</v>
      </c>
      <c r="I5" s="3">
        <v>4</v>
      </c>
      <c r="J5" s="3">
        <v>5</v>
      </c>
      <c r="K5" s="3">
        <v>2.5</v>
      </c>
      <c r="L5" s="3">
        <v>4</v>
      </c>
      <c r="M5" s="3">
        <f t="shared" si="0"/>
        <v>83</v>
      </c>
      <c r="N5" s="3" t="s">
        <v>50</v>
      </c>
      <c r="O5" s="3">
        <v>4.5</v>
      </c>
      <c r="P5" s="3" t="s">
        <v>324</v>
      </c>
      <c r="Q5" s="3" t="s">
        <v>325</v>
      </c>
      <c r="R5" s="3" t="s">
        <v>316</v>
      </c>
      <c r="S5" s="3" t="s">
        <v>317</v>
      </c>
      <c r="T5" s="3" t="s">
        <v>51</v>
      </c>
      <c r="U5" s="3" t="s">
        <v>52</v>
      </c>
      <c r="V5" s="3" t="s">
        <v>53</v>
      </c>
    </row>
    <row r="6" spans="1:22" ht="41.4">
      <c r="A6" s="3" t="s">
        <v>54</v>
      </c>
      <c r="B6" s="3" t="s">
        <v>37</v>
      </c>
      <c r="C6" s="3" t="s">
        <v>46</v>
      </c>
      <c r="D6" s="3" t="s">
        <v>55</v>
      </c>
      <c r="E6" s="3" t="s">
        <v>56</v>
      </c>
      <c r="F6" s="4">
        <v>46235</v>
      </c>
      <c r="G6" s="4">
        <v>46278</v>
      </c>
      <c r="H6" s="3" t="s">
        <v>49</v>
      </c>
      <c r="I6" s="3">
        <v>3</v>
      </c>
      <c r="J6" s="3">
        <v>5</v>
      </c>
      <c r="K6" s="3">
        <v>2</v>
      </c>
      <c r="L6" s="3">
        <v>2.5</v>
      </c>
      <c r="M6" s="3">
        <f t="shared" si="0"/>
        <v>71</v>
      </c>
      <c r="N6" s="3" t="s">
        <v>57</v>
      </c>
      <c r="O6" s="3">
        <v>4</v>
      </c>
      <c r="P6" s="3" t="s">
        <v>326</v>
      </c>
      <c r="Q6" s="3" t="s">
        <v>327</v>
      </c>
      <c r="R6" s="3" t="s">
        <v>316</v>
      </c>
      <c r="S6" s="3" t="s">
        <v>317</v>
      </c>
      <c r="T6" s="3" t="s">
        <v>58</v>
      </c>
      <c r="U6" s="3" t="s">
        <v>59</v>
      </c>
      <c r="V6" s="3" t="s">
        <v>60</v>
      </c>
    </row>
    <row r="7" spans="1:22" ht="41.4">
      <c r="A7" s="3" t="s">
        <v>61</v>
      </c>
      <c r="B7" s="3" t="s">
        <v>37</v>
      </c>
      <c r="C7" s="3" t="s">
        <v>20</v>
      </c>
      <c r="D7" s="3" t="s">
        <v>62</v>
      </c>
      <c r="E7" s="3" t="s">
        <v>63</v>
      </c>
      <c r="F7" s="4">
        <v>46244</v>
      </c>
      <c r="G7" s="4">
        <v>46275</v>
      </c>
      <c r="H7" s="3" t="s">
        <v>64</v>
      </c>
      <c r="I7" s="3">
        <v>5</v>
      </c>
      <c r="J7" s="3">
        <v>3</v>
      </c>
      <c r="K7" s="3">
        <v>3.5</v>
      </c>
      <c r="L7" s="3">
        <v>3</v>
      </c>
      <c r="M7" s="3">
        <f t="shared" si="0"/>
        <v>76.5</v>
      </c>
      <c r="N7" s="3" t="s">
        <v>65</v>
      </c>
      <c r="O7" s="3">
        <v>4</v>
      </c>
      <c r="P7" s="3" t="s">
        <v>318</v>
      </c>
      <c r="Q7" s="3" t="s">
        <v>328</v>
      </c>
      <c r="R7" s="3" t="s">
        <v>320</v>
      </c>
      <c r="S7" s="3" t="s">
        <v>317</v>
      </c>
      <c r="T7" s="3" t="s">
        <v>66</v>
      </c>
      <c r="U7" s="3" t="s">
        <v>67</v>
      </c>
      <c r="V7" s="3" t="s">
        <v>68</v>
      </c>
    </row>
    <row r="8" spans="1:22" ht="41.4">
      <c r="A8" s="3" t="s">
        <v>69</v>
      </c>
      <c r="B8" s="3" t="s">
        <v>37</v>
      </c>
      <c r="C8" s="3" t="s">
        <v>46</v>
      </c>
      <c r="D8" s="3" t="s">
        <v>70</v>
      </c>
      <c r="E8" s="3" t="s">
        <v>71</v>
      </c>
      <c r="F8" s="4">
        <v>46249</v>
      </c>
      <c r="G8" s="4">
        <v>46285</v>
      </c>
      <c r="H8" s="3" t="s">
        <v>49</v>
      </c>
      <c r="I8" s="3">
        <v>5</v>
      </c>
      <c r="J8" s="3">
        <v>5</v>
      </c>
      <c r="K8" s="3">
        <v>2.5</v>
      </c>
      <c r="L8" s="3">
        <v>1.5</v>
      </c>
      <c r="M8" s="3">
        <f t="shared" si="0"/>
        <v>78</v>
      </c>
      <c r="N8" s="3" t="s">
        <v>72</v>
      </c>
      <c r="O8" s="3">
        <v>3.5</v>
      </c>
      <c r="P8" s="3" t="s">
        <v>318</v>
      </c>
      <c r="Q8" s="3" t="s">
        <v>329</v>
      </c>
      <c r="R8" s="3" t="s">
        <v>330</v>
      </c>
      <c r="S8" s="3" t="s">
        <v>317</v>
      </c>
      <c r="T8" s="3" t="s">
        <v>73</v>
      </c>
      <c r="U8" s="3" t="s">
        <v>74</v>
      </c>
      <c r="V8" s="3" t="s">
        <v>75</v>
      </c>
    </row>
    <row r="9" spans="1:22" ht="41.4">
      <c r="A9" s="3" t="s">
        <v>76</v>
      </c>
      <c r="B9" s="3" t="s">
        <v>37</v>
      </c>
      <c r="C9" s="3" t="s">
        <v>46</v>
      </c>
      <c r="D9" s="3" t="s">
        <v>77</v>
      </c>
      <c r="E9" s="3" t="s">
        <v>78</v>
      </c>
      <c r="F9" s="4">
        <v>46251</v>
      </c>
      <c r="G9" s="4">
        <v>46284</v>
      </c>
      <c r="H9" s="3" t="s">
        <v>49</v>
      </c>
      <c r="I9" s="3">
        <v>4</v>
      </c>
      <c r="J9" s="3">
        <v>5</v>
      </c>
      <c r="K9" s="3">
        <v>2.5</v>
      </c>
      <c r="L9" s="3">
        <v>1.5</v>
      </c>
      <c r="M9" s="3">
        <f t="shared" si="0"/>
        <v>73</v>
      </c>
      <c r="N9" s="3" t="s">
        <v>79</v>
      </c>
      <c r="O9" s="3">
        <v>3.5</v>
      </c>
      <c r="P9" s="3" t="s">
        <v>318</v>
      </c>
      <c r="Q9" s="3" t="s">
        <v>331</v>
      </c>
      <c r="R9" s="3" t="s">
        <v>330</v>
      </c>
      <c r="S9" s="3" t="s">
        <v>317</v>
      </c>
      <c r="T9" s="3" t="s">
        <v>80</v>
      </c>
      <c r="U9" s="3" t="s">
        <v>81</v>
      </c>
      <c r="V9" s="3" t="s">
        <v>82</v>
      </c>
    </row>
    <row r="10" spans="1:22" ht="27.6">
      <c r="A10" s="3" t="s">
        <v>83</v>
      </c>
      <c r="B10" s="3" t="s">
        <v>37</v>
      </c>
      <c r="C10" s="3" t="s">
        <v>46</v>
      </c>
      <c r="D10" s="3" t="s">
        <v>38</v>
      </c>
      <c r="E10" s="3" t="s">
        <v>84</v>
      </c>
      <c r="F10" s="4">
        <v>46265</v>
      </c>
      <c r="G10" s="4">
        <v>46295</v>
      </c>
      <c r="H10" s="3" t="s">
        <v>49</v>
      </c>
      <c r="I10" s="3">
        <v>4</v>
      </c>
      <c r="J10" s="3">
        <v>4.5</v>
      </c>
      <c r="K10" s="3">
        <v>3</v>
      </c>
      <c r="L10" s="3">
        <v>1</v>
      </c>
      <c r="M10" s="3">
        <f t="shared" si="0"/>
        <v>68.5</v>
      </c>
      <c r="N10" s="3" t="s">
        <v>85</v>
      </c>
      <c r="O10" s="3">
        <v>3</v>
      </c>
      <c r="P10" s="3" t="s">
        <v>318</v>
      </c>
      <c r="Q10" s="3" t="s">
        <v>332</v>
      </c>
      <c r="R10" s="3" t="s">
        <v>330</v>
      </c>
      <c r="S10" s="3" t="s">
        <v>317</v>
      </c>
      <c r="T10" s="3" t="s">
        <v>86</v>
      </c>
      <c r="U10" s="3"/>
      <c r="V10" s="3" t="s">
        <v>87</v>
      </c>
    </row>
    <row r="11" spans="1:22" ht="41.4">
      <c r="A11" s="3" t="s">
        <v>88</v>
      </c>
      <c r="B11" s="3" t="s">
        <v>19</v>
      </c>
      <c r="C11" s="3" t="s">
        <v>20</v>
      </c>
      <c r="D11" s="3" t="s">
        <v>89</v>
      </c>
      <c r="E11" s="3" t="s">
        <v>90</v>
      </c>
      <c r="F11" s="4">
        <v>46274</v>
      </c>
      <c r="G11" s="4">
        <v>46290</v>
      </c>
      <c r="H11" s="3" t="s">
        <v>91</v>
      </c>
      <c r="I11" s="3">
        <v>5</v>
      </c>
      <c r="J11" s="3">
        <v>2.5</v>
      </c>
      <c r="K11" s="3">
        <v>3.5</v>
      </c>
      <c r="L11" s="3">
        <v>1</v>
      </c>
      <c r="M11" s="3">
        <f t="shared" si="0"/>
        <v>66.3</v>
      </c>
      <c r="N11" s="3" t="s">
        <v>92</v>
      </c>
      <c r="O11" s="3">
        <v>3.25</v>
      </c>
      <c r="P11" s="3" t="s">
        <v>318</v>
      </c>
      <c r="Q11" s="3" t="s">
        <v>333</v>
      </c>
      <c r="R11" s="3" t="s">
        <v>330</v>
      </c>
      <c r="S11" s="3" t="s">
        <v>317</v>
      </c>
      <c r="T11" s="3" t="s">
        <v>93</v>
      </c>
      <c r="U11" s="3" t="s">
        <v>94</v>
      </c>
      <c r="V11" s="3" t="s">
        <v>95</v>
      </c>
    </row>
    <row r="12" spans="1:22" ht="41.4">
      <c r="A12" s="3" t="s">
        <v>96</v>
      </c>
      <c r="B12" s="3" t="s">
        <v>37</v>
      </c>
      <c r="C12" s="3" t="s">
        <v>20</v>
      </c>
      <c r="D12" s="3" t="s">
        <v>97</v>
      </c>
      <c r="E12" s="3" t="s">
        <v>98</v>
      </c>
      <c r="F12" s="4">
        <v>46251</v>
      </c>
      <c r="G12" s="4">
        <v>46296</v>
      </c>
      <c r="H12" s="3" t="s">
        <v>91</v>
      </c>
      <c r="I12" s="3">
        <v>5</v>
      </c>
      <c r="J12" s="3">
        <v>2.5</v>
      </c>
      <c r="K12" s="3">
        <v>3.5</v>
      </c>
      <c r="L12" s="3">
        <v>1</v>
      </c>
      <c r="M12" s="3">
        <f t="shared" si="0"/>
        <v>62.5</v>
      </c>
      <c r="N12" s="3" t="s">
        <v>99</v>
      </c>
      <c r="O12" s="3">
        <v>2.5</v>
      </c>
      <c r="P12" s="3" t="s">
        <v>318</v>
      </c>
      <c r="Q12" s="3" t="s">
        <v>334</v>
      </c>
      <c r="R12" s="3" t="s">
        <v>335</v>
      </c>
      <c r="S12" s="3" t="s">
        <v>317</v>
      </c>
      <c r="T12" s="3" t="s">
        <v>100</v>
      </c>
      <c r="U12" s="3"/>
      <c r="V12" s="3" t="s">
        <v>101</v>
      </c>
    </row>
    <row r="13" spans="1:22" ht="41.4">
      <c r="A13" s="3" t="s">
        <v>102</v>
      </c>
      <c r="B13" s="3" t="s">
        <v>37</v>
      </c>
      <c r="C13" s="3" t="s">
        <v>20</v>
      </c>
      <c r="D13" s="3" t="s">
        <v>103</v>
      </c>
      <c r="E13" s="3" t="s">
        <v>104</v>
      </c>
      <c r="F13" s="4">
        <v>46234</v>
      </c>
      <c r="G13" s="4">
        <v>46264</v>
      </c>
      <c r="H13" s="3" t="s">
        <v>105</v>
      </c>
      <c r="I13" s="3">
        <v>3.5</v>
      </c>
      <c r="J13" s="3">
        <v>3</v>
      </c>
      <c r="K13" s="3">
        <v>3.5</v>
      </c>
      <c r="L13" s="3">
        <v>4</v>
      </c>
      <c r="M13" s="3">
        <f t="shared" si="0"/>
        <v>76</v>
      </c>
      <c r="N13" s="3" t="s">
        <v>106</v>
      </c>
      <c r="O13" s="3">
        <v>5</v>
      </c>
      <c r="P13" s="3" t="s">
        <v>324</v>
      </c>
      <c r="Q13" s="3" t="s">
        <v>336</v>
      </c>
      <c r="R13" s="3" t="s">
        <v>316</v>
      </c>
      <c r="S13" s="3" t="s">
        <v>317</v>
      </c>
      <c r="T13" s="3" t="s">
        <v>107</v>
      </c>
      <c r="U13" s="3" t="s">
        <v>108</v>
      </c>
      <c r="V13" s="3" t="s">
        <v>109</v>
      </c>
    </row>
    <row r="14" spans="1:22" ht="41.4">
      <c r="A14" s="3" t="s">
        <v>110</v>
      </c>
      <c r="B14" s="3" t="s">
        <v>37</v>
      </c>
      <c r="C14" s="3" t="s">
        <v>20</v>
      </c>
      <c r="D14" s="3" t="s">
        <v>111</v>
      </c>
      <c r="E14" s="3" t="s">
        <v>112</v>
      </c>
      <c r="F14" s="4">
        <v>46230</v>
      </c>
      <c r="G14" s="4">
        <v>46280</v>
      </c>
      <c r="H14" s="3" t="s">
        <v>113</v>
      </c>
      <c r="I14" s="3">
        <v>2.5</v>
      </c>
      <c r="J14" s="3">
        <v>2.5</v>
      </c>
      <c r="K14" s="3">
        <v>3.5</v>
      </c>
      <c r="L14" s="3">
        <v>2.5</v>
      </c>
      <c r="M14" s="3">
        <f t="shared" si="0"/>
        <v>58</v>
      </c>
      <c r="N14" s="3" t="s">
        <v>114</v>
      </c>
      <c r="O14" s="3">
        <v>3.5</v>
      </c>
      <c r="P14" s="3" t="s">
        <v>314</v>
      </c>
      <c r="Q14" s="3" t="s">
        <v>337</v>
      </c>
      <c r="R14" s="3" t="s">
        <v>316</v>
      </c>
      <c r="S14" s="3" t="s">
        <v>317</v>
      </c>
      <c r="T14" s="3" t="s">
        <v>115</v>
      </c>
      <c r="U14" s="3" t="s">
        <v>116</v>
      </c>
      <c r="V14" s="3" t="s">
        <v>117</v>
      </c>
    </row>
    <row r="15" spans="1:22" ht="41.4">
      <c r="A15" s="3" t="s">
        <v>118</v>
      </c>
      <c r="B15" s="3" t="s">
        <v>19</v>
      </c>
      <c r="C15" s="3" t="s">
        <v>119</v>
      </c>
      <c r="D15" s="3" t="s">
        <v>120</v>
      </c>
      <c r="E15" s="3" t="s">
        <v>121</v>
      </c>
      <c r="F15" s="4">
        <v>46241</v>
      </c>
      <c r="G15" s="4" t="s">
        <v>122</v>
      </c>
      <c r="H15" s="3" t="s">
        <v>120</v>
      </c>
      <c r="I15" s="3">
        <v>4</v>
      </c>
      <c r="J15" s="3">
        <v>1</v>
      </c>
      <c r="K15" s="3">
        <v>3</v>
      </c>
      <c r="L15" s="3">
        <v>1</v>
      </c>
      <c r="M15" s="3">
        <f t="shared" si="0"/>
        <v>41</v>
      </c>
      <c r="N15" s="3" t="s">
        <v>123</v>
      </c>
      <c r="O15" s="3">
        <v>1</v>
      </c>
      <c r="P15" s="3" t="s">
        <v>318</v>
      </c>
      <c r="Q15" s="3" t="s">
        <v>338</v>
      </c>
      <c r="R15" s="3" t="s">
        <v>320</v>
      </c>
      <c r="S15" s="3" t="s">
        <v>317</v>
      </c>
      <c r="T15" s="3" t="s">
        <v>124</v>
      </c>
      <c r="U15" s="3"/>
      <c r="V15" s="3" t="s">
        <v>125</v>
      </c>
    </row>
    <row r="16" spans="1:22" ht="27.6">
      <c r="A16" s="3" t="s">
        <v>126</v>
      </c>
      <c r="B16" s="3" t="s">
        <v>37</v>
      </c>
      <c r="C16" s="3" t="s">
        <v>127</v>
      </c>
      <c r="D16" s="3" t="s">
        <v>128</v>
      </c>
      <c r="E16" s="3" t="s">
        <v>129</v>
      </c>
      <c r="F16" s="4">
        <v>46250</v>
      </c>
      <c r="G16" s="4">
        <v>46325</v>
      </c>
      <c r="H16" s="3" t="s">
        <v>91</v>
      </c>
      <c r="I16" s="3">
        <v>2.5</v>
      </c>
      <c r="J16" s="3">
        <v>1.5</v>
      </c>
      <c r="K16" s="3">
        <v>3.5</v>
      </c>
      <c r="L16" s="3">
        <v>0</v>
      </c>
      <c r="M16" s="3">
        <f t="shared" si="0"/>
        <v>38</v>
      </c>
      <c r="N16" s="3" t="s">
        <v>130</v>
      </c>
      <c r="O16" s="3">
        <v>1.5</v>
      </c>
      <c r="P16" s="3" t="s">
        <v>318</v>
      </c>
      <c r="Q16" s="3" t="s">
        <v>339</v>
      </c>
      <c r="R16" s="3" t="s">
        <v>330</v>
      </c>
      <c r="S16" s="3" t="s">
        <v>317</v>
      </c>
      <c r="T16" s="3" t="s">
        <v>131</v>
      </c>
      <c r="U16" s="3"/>
      <c r="V16" s="3" t="s">
        <v>132</v>
      </c>
    </row>
    <row r="17" spans="1:22" ht="27.6">
      <c r="A17" s="3" t="s">
        <v>133</v>
      </c>
      <c r="B17" s="3" t="s">
        <v>37</v>
      </c>
      <c r="C17" s="3" t="s">
        <v>46</v>
      </c>
      <c r="D17" s="3" t="s">
        <v>134</v>
      </c>
      <c r="E17" s="3" t="s">
        <v>135</v>
      </c>
      <c r="F17" s="4">
        <v>46255</v>
      </c>
      <c r="G17" s="4">
        <v>46319</v>
      </c>
      <c r="H17" s="3" t="s">
        <v>49</v>
      </c>
      <c r="I17" s="3">
        <v>4</v>
      </c>
      <c r="J17" s="3">
        <v>5</v>
      </c>
      <c r="K17" s="3">
        <v>1.5</v>
      </c>
      <c r="L17" s="3">
        <v>0</v>
      </c>
      <c r="M17" s="3">
        <f t="shared" si="0"/>
        <v>57</v>
      </c>
      <c r="N17" s="3" t="s">
        <v>136</v>
      </c>
      <c r="O17" s="3">
        <v>1.5</v>
      </c>
      <c r="P17" s="3" t="s">
        <v>318</v>
      </c>
      <c r="Q17" s="3" t="s">
        <v>340</v>
      </c>
      <c r="R17" s="3" t="s">
        <v>330</v>
      </c>
      <c r="S17" s="3" t="s">
        <v>317</v>
      </c>
      <c r="T17" s="3" t="s">
        <v>137</v>
      </c>
      <c r="U17" s="3" t="s">
        <v>138</v>
      </c>
      <c r="V17" s="3" t="s">
        <v>139</v>
      </c>
    </row>
    <row r="18" spans="1:22" ht="27.6">
      <c r="A18" s="3" t="s">
        <v>140</v>
      </c>
      <c r="B18" s="3" t="s">
        <v>37</v>
      </c>
      <c r="C18" s="3" t="s">
        <v>46</v>
      </c>
      <c r="D18" s="3" t="s">
        <v>141</v>
      </c>
      <c r="E18" s="3" t="s">
        <v>142</v>
      </c>
      <c r="F18" s="4">
        <v>46280</v>
      </c>
      <c r="G18" s="4">
        <v>46310</v>
      </c>
      <c r="H18" s="3" t="s">
        <v>49</v>
      </c>
      <c r="I18" s="3">
        <v>1.5</v>
      </c>
      <c r="J18" s="3">
        <v>4.5</v>
      </c>
      <c r="K18" s="3">
        <v>2</v>
      </c>
      <c r="L18" s="3">
        <v>0</v>
      </c>
      <c r="M18" s="3">
        <f t="shared" si="0"/>
        <v>46</v>
      </c>
      <c r="N18" s="3" t="s">
        <v>143</v>
      </c>
      <c r="O18" s="3">
        <v>2</v>
      </c>
      <c r="P18" s="3" t="s">
        <v>318</v>
      </c>
      <c r="Q18" s="3" t="s">
        <v>341</v>
      </c>
      <c r="R18" s="3" t="s">
        <v>330</v>
      </c>
      <c r="S18" s="3" t="s">
        <v>317</v>
      </c>
      <c r="T18" s="3" t="s">
        <v>144</v>
      </c>
      <c r="U18" s="3"/>
      <c r="V18" s="3" t="s">
        <v>145</v>
      </c>
    </row>
    <row r="19" spans="1:22" ht="41.4">
      <c r="A19" s="3" t="s">
        <v>146</v>
      </c>
      <c r="B19" s="3" t="s">
        <v>147</v>
      </c>
      <c r="C19" s="3" t="s">
        <v>148</v>
      </c>
      <c r="D19" s="3" t="s">
        <v>149</v>
      </c>
      <c r="E19" s="3" t="s">
        <v>150</v>
      </c>
      <c r="F19" s="4">
        <v>46280</v>
      </c>
      <c r="G19" s="4">
        <v>46310</v>
      </c>
      <c r="H19" s="3" t="s">
        <v>151</v>
      </c>
      <c r="I19" s="3">
        <v>4</v>
      </c>
      <c r="J19" s="3">
        <v>3</v>
      </c>
      <c r="K19" s="3">
        <v>4</v>
      </c>
      <c r="L19" s="3">
        <v>0</v>
      </c>
      <c r="M19" s="3">
        <f t="shared" si="0"/>
        <v>49.5</v>
      </c>
      <c r="N19" s="3" t="s">
        <v>152</v>
      </c>
      <c r="O19" s="3">
        <v>0.5</v>
      </c>
      <c r="P19" s="3" t="s">
        <v>318</v>
      </c>
      <c r="Q19" s="3" t="s">
        <v>342</v>
      </c>
      <c r="R19" s="3" t="s">
        <v>343</v>
      </c>
      <c r="S19" s="3" t="s">
        <v>317</v>
      </c>
      <c r="T19" s="3" t="s">
        <v>153</v>
      </c>
      <c r="U19" s="3" t="s">
        <v>154</v>
      </c>
      <c r="V19" s="3" t="s">
        <v>155</v>
      </c>
    </row>
    <row r="20" spans="1:22" ht="41.4">
      <c r="A20" s="3" t="s">
        <v>156</v>
      </c>
      <c r="B20" s="3" t="s">
        <v>19</v>
      </c>
      <c r="C20" s="3" t="s">
        <v>157</v>
      </c>
      <c r="D20" s="3" t="s">
        <v>38</v>
      </c>
      <c r="E20" s="3" t="s">
        <v>158</v>
      </c>
      <c r="F20" s="4">
        <v>46263</v>
      </c>
      <c r="G20" s="4">
        <v>46294</v>
      </c>
      <c r="H20" s="3" t="s">
        <v>159</v>
      </c>
      <c r="I20" s="3">
        <v>0.5</v>
      </c>
      <c r="J20" s="3">
        <v>1</v>
      </c>
      <c r="K20" s="3">
        <v>4</v>
      </c>
      <c r="L20" s="3">
        <v>1</v>
      </c>
      <c r="M20" s="3">
        <f t="shared" si="0"/>
        <v>36.5</v>
      </c>
      <c r="N20" s="3" t="s">
        <v>160</v>
      </c>
      <c r="O20" s="3">
        <v>3</v>
      </c>
      <c r="P20" s="3" t="s">
        <v>318</v>
      </c>
      <c r="Q20" s="3" t="s">
        <v>344</v>
      </c>
      <c r="R20" s="3" t="s">
        <v>343</v>
      </c>
      <c r="S20" s="3" t="s">
        <v>317</v>
      </c>
      <c r="T20" s="3" t="s">
        <v>161</v>
      </c>
      <c r="U20" s="3" t="s">
        <v>162</v>
      </c>
      <c r="V20" s="3" t="s">
        <v>163</v>
      </c>
    </row>
    <row r="21" spans="1:22" ht="41.4">
      <c r="A21" s="3" t="s">
        <v>345</v>
      </c>
      <c r="B21" s="3" t="s">
        <v>19</v>
      </c>
      <c r="C21" s="3" t="s">
        <v>20</v>
      </c>
      <c r="D21" s="3" t="s">
        <v>346</v>
      </c>
      <c r="E21" s="3" t="s">
        <v>347</v>
      </c>
      <c r="F21" s="4">
        <v>46227</v>
      </c>
      <c r="G21" s="4">
        <v>46255</v>
      </c>
      <c r="H21" s="3" t="s">
        <v>348</v>
      </c>
      <c r="I21" s="3">
        <v>5</v>
      </c>
      <c r="J21" s="3">
        <v>4</v>
      </c>
      <c r="K21" s="3">
        <v>3.5</v>
      </c>
      <c r="L21" s="3">
        <v>5</v>
      </c>
      <c r="M21" s="3">
        <f t="shared" si="0"/>
        <v>90.5</v>
      </c>
      <c r="N21" s="3" t="s">
        <v>349</v>
      </c>
      <c r="O21" s="3">
        <v>5</v>
      </c>
      <c r="P21" s="3" t="s">
        <v>350</v>
      </c>
      <c r="Q21" s="3" t="s">
        <v>351</v>
      </c>
      <c r="R21" s="3" t="s">
        <v>352</v>
      </c>
      <c r="S21" s="3" t="s">
        <v>353</v>
      </c>
      <c r="T21" s="3" t="s">
        <v>354</v>
      </c>
      <c r="U21" s="3" t="s">
        <v>355</v>
      </c>
      <c r="V21" s="3" t="s">
        <v>356</v>
      </c>
    </row>
    <row r="22" spans="1:22" ht="27.6">
      <c r="A22" s="3" t="s">
        <v>357</v>
      </c>
      <c r="B22" s="3" t="s">
        <v>19</v>
      </c>
      <c r="C22" s="3" t="s">
        <v>20</v>
      </c>
      <c r="D22" s="3" t="s">
        <v>358</v>
      </c>
      <c r="E22" s="3" t="s">
        <v>90</v>
      </c>
      <c r="F22" s="4">
        <v>46227</v>
      </c>
      <c r="G22" s="4" t="s">
        <v>173</v>
      </c>
      <c r="H22" s="3" t="s">
        <v>359</v>
      </c>
      <c r="I22" s="3">
        <v>5</v>
      </c>
      <c r="J22" s="3">
        <v>3.5</v>
      </c>
      <c r="K22" s="3">
        <v>3.5</v>
      </c>
      <c r="L22" s="3">
        <v>5</v>
      </c>
      <c r="M22" s="3">
        <f t="shared" si="0"/>
        <v>88</v>
      </c>
      <c r="N22" s="3" t="s">
        <v>360</v>
      </c>
      <c r="O22" s="3">
        <v>5</v>
      </c>
      <c r="P22" s="3" t="s">
        <v>361</v>
      </c>
      <c r="Q22" s="3" t="s">
        <v>362</v>
      </c>
      <c r="R22" s="3" t="s">
        <v>363</v>
      </c>
      <c r="S22" s="3" t="s">
        <v>364</v>
      </c>
      <c r="T22" s="3" t="s">
        <v>365</v>
      </c>
      <c r="U22" s="3" t="s">
        <v>176</v>
      </c>
      <c r="V22" s="3" t="s">
        <v>366</v>
      </c>
    </row>
    <row r="23" spans="1:22" ht="41.4">
      <c r="A23" s="3" t="s">
        <v>367</v>
      </c>
      <c r="B23" s="3" t="s">
        <v>19</v>
      </c>
      <c r="C23" s="3" t="s">
        <v>20</v>
      </c>
      <c r="D23" s="3" t="s">
        <v>368</v>
      </c>
      <c r="E23" s="3" t="s">
        <v>369</v>
      </c>
      <c r="F23" s="4">
        <v>46227</v>
      </c>
      <c r="G23" s="4">
        <v>46255</v>
      </c>
      <c r="H23" s="3" t="s">
        <v>370</v>
      </c>
      <c r="I23" s="3">
        <v>4</v>
      </c>
      <c r="J23" s="3">
        <v>4</v>
      </c>
      <c r="K23" s="3">
        <v>3.5</v>
      </c>
      <c r="L23" s="3">
        <v>5</v>
      </c>
      <c r="M23" s="3">
        <f t="shared" si="0"/>
        <v>85.5</v>
      </c>
      <c r="N23" s="3" t="s">
        <v>371</v>
      </c>
      <c r="O23" s="3">
        <v>5</v>
      </c>
      <c r="P23" s="3" t="s">
        <v>361</v>
      </c>
      <c r="Q23" s="3" t="s">
        <v>372</v>
      </c>
      <c r="R23" s="3" t="s">
        <v>363</v>
      </c>
      <c r="S23" s="3" t="s">
        <v>373</v>
      </c>
      <c r="T23" s="3" t="s">
        <v>374</v>
      </c>
      <c r="U23" s="3" t="s">
        <v>180</v>
      </c>
      <c r="V23" s="3" t="s">
        <v>375</v>
      </c>
    </row>
    <row r="24" spans="1:22" ht="27.6">
      <c r="A24" s="3" t="s">
        <v>187</v>
      </c>
      <c r="B24" s="3" t="s">
        <v>19</v>
      </c>
      <c r="C24" s="3" t="s">
        <v>20</v>
      </c>
      <c r="D24" s="3" t="s">
        <v>376</v>
      </c>
      <c r="E24" s="3" t="s">
        <v>377</v>
      </c>
      <c r="F24" s="4">
        <v>46227</v>
      </c>
      <c r="G24" s="4">
        <v>46249</v>
      </c>
      <c r="H24" s="3" t="s">
        <v>49</v>
      </c>
      <c r="I24" s="3">
        <v>3.5</v>
      </c>
      <c r="J24" s="3">
        <v>4</v>
      </c>
      <c r="K24" s="3">
        <v>3</v>
      </c>
      <c r="L24" s="3">
        <v>5</v>
      </c>
      <c r="M24" s="3">
        <f t="shared" si="0"/>
        <v>81.5</v>
      </c>
      <c r="N24" s="3" t="s">
        <v>378</v>
      </c>
      <c r="O24" s="3">
        <v>5</v>
      </c>
      <c r="P24" s="3" t="s">
        <v>350</v>
      </c>
      <c r="Q24" s="3" t="s">
        <v>379</v>
      </c>
      <c r="R24" s="3" t="s">
        <v>352</v>
      </c>
      <c r="S24" s="3" t="s">
        <v>380</v>
      </c>
      <c r="T24" s="3" t="s">
        <v>381</v>
      </c>
      <c r="U24" s="3" t="s">
        <v>190</v>
      </c>
      <c r="V24" s="3" t="s">
        <v>382</v>
      </c>
    </row>
    <row r="25" spans="1:22" ht="41.4">
      <c r="A25" s="3" t="s">
        <v>383</v>
      </c>
      <c r="B25" s="3" t="s">
        <v>19</v>
      </c>
      <c r="C25" s="3" t="s">
        <v>20</v>
      </c>
      <c r="D25" s="3" t="s">
        <v>384</v>
      </c>
      <c r="E25" s="3" t="s">
        <v>385</v>
      </c>
      <c r="F25" s="4">
        <v>46227</v>
      </c>
      <c r="G25" s="4" t="s">
        <v>122</v>
      </c>
      <c r="H25" s="3" t="s">
        <v>91</v>
      </c>
      <c r="I25" s="3">
        <v>3.5</v>
      </c>
      <c r="J25" s="3">
        <v>2.5</v>
      </c>
      <c r="K25" s="3">
        <v>3.5</v>
      </c>
      <c r="L25" s="3">
        <v>5</v>
      </c>
      <c r="M25" s="3">
        <f t="shared" si="0"/>
        <v>73</v>
      </c>
      <c r="N25" s="3" t="s">
        <v>386</v>
      </c>
      <c r="O25" s="3">
        <v>4.5</v>
      </c>
      <c r="P25" s="3" t="s">
        <v>350</v>
      </c>
      <c r="Q25" s="3" t="s">
        <v>387</v>
      </c>
      <c r="R25" s="3" t="s">
        <v>352</v>
      </c>
      <c r="S25" s="3" t="s">
        <v>388</v>
      </c>
      <c r="T25" s="3" t="s">
        <v>389</v>
      </c>
      <c r="U25" s="3" t="s">
        <v>390</v>
      </c>
      <c r="V25" s="3" t="s">
        <v>391</v>
      </c>
    </row>
    <row r="26" spans="1:22" ht="41.4">
      <c r="A26" s="3" t="s">
        <v>182</v>
      </c>
      <c r="B26" s="3" t="s">
        <v>19</v>
      </c>
      <c r="C26" s="3" t="s">
        <v>20</v>
      </c>
      <c r="D26" s="3" t="s">
        <v>392</v>
      </c>
      <c r="E26" s="3" t="s">
        <v>393</v>
      </c>
      <c r="F26" s="4">
        <v>46227</v>
      </c>
      <c r="G26" s="4" t="s">
        <v>122</v>
      </c>
      <c r="H26" s="3" t="s">
        <v>91</v>
      </c>
      <c r="I26" s="3">
        <v>2.5</v>
      </c>
      <c r="J26" s="3">
        <v>3</v>
      </c>
      <c r="K26" s="3">
        <v>3</v>
      </c>
      <c r="L26" s="3">
        <v>5</v>
      </c>
      <c r="M26" s="3">
        <f t="shared" si="0"/>
        <v>69</v>
      </c>
      <c r="N26" s="3" t="s">
        <v>394</v>
      </c>
      <c r="O26" s="3">
        <v>4.5</v>
      </c>
      <c r="P26" s="3" t="s">
        <v>350</v>
      </c>
      <c r="Q26" s="3" t="s">
        <v>395</v>
      </c>
      <c r="R26" s="3" t="s">
        <v>320</v>
      </c>
      <c r="S26" s="3" t="s">
        <v>396</v>
      </c>
      <c r="T26" s="3" t="s">
        <v>397</v>
      </c>
      <c r="U26" s="3" t="s">
        <v>185</v>
      </c>
      <c r="V26" s="3" t="s">
        <v>398</v>
      </c>
    </row>
    <row r="27" spans="1:22" ht="27.6">
      <c r="A27" s="3" t="s">
        <v>399</v>
      </c>
      <c r="B27" s="3" t="s">
        <v>19</v>
      </c>
      <c r="C27" s="3" t="s">
        <v>20</v>
      </c>
      <c r="D27" s="3" t="s">
        <v>400</v>
      </c>
      <c r="E27" s="3" t="s">
        <v>401</v>
      </c>
      <c r="F27" s="4">
        <v>46227</v>
      </c>
      <c r="G27" s="4">
        <v>46255</v>
      </c>
      <c r="H27" s="3" t="s">
        <v>91</v>
      </c>
      <c r="I27" s="3">
        <v>3</v>
      </c>
      <c r="J27" s="3">
        <v>3.5</v>
      </c>
      <c r="K27" s="3">
        <v>3</v>
      </c>
      <c r="L27" s="3">
        <v>5</v>
      </c>
      <c r="M27" s="3">
        <f t="shared" si="0"/>
        <v>76.5</v>
      </c>
      <c r="N27" s="3" t="s">
        <v>402</v>
      </c>
      <c r="O27" s="3">
        <v>5</v>
      </c>
      <c r="P27" s="3" t="s">
        <v>403</v>
      </c>
      <c r="Q27" s="3" t="s">
        <v>404</v>
      </c>
      <c r="R27" s="3" t="s">
        <v>363</v>
      </c>
      <c r="S27" s="3" t="s">
        <v>405</v>
      </c>
      <c r="T27" s="3" t="s">
        <v>406</v>
      </c>
      <c r="U27" s="3" t="s">
        <v>407</v>
      </c>
      <c r="V27" s="3" t="s">
        <v>408</v>
      </c>
    </row>
    <row r="28" spans="1:22" ht="27.6">
      <c r="A28" s="3" t="s">
        <v>409</v>
      </c>
      <c r="B28" s="3" t="s">
        <v>19</v>
      </c>
      <c r="C28" s="3" t="s">
        <v>20</v>
      </c>
      <c r="D28" s="3" t="s">
        <v>410</v>
      </c>
      <c r="E28" s="3" t="s">
        <v>377</v>
      </c>
      <c r="F28" s="4">
        <v>46225</v>
      </c>
      <c r="G28" s="4">
        <v>46255</v>
      </c>
      <c r="H28" s="3" t="s">
        <v>49</v>
      </c>
      <c r="I28" s="3">
        <v>3.5</v>
      </c>
      <c r="J28" s="3">
        <v>4</v>
      </c>
      <c r="K28" s="3">
        <v>3</v>
      </c>
      <c r="L28" s="3">
        <v>5</v>
      </c>
      <c r="M28" s="3">
        <f t="shared" si="0"/>
        <v>81.5</v>
      </c>
      <c r="N28" s="3" t="s">
        <v>411</v>
      </c>
      <c r="O28" s="3">
        <v>5</v>
      </c>
      <c r="P28" s="3" t="s">
        <v>412</v>
      </c>
      <c r="Q28" s="3" t="s">
        <v>413</v>
      </c>
      <c r="R28" s="3" t="s">
        <v>414</v>
      </c>
      <c r="S28" s="3" t="s">
        <v>415</v>
      </c>
      <c r="T28" s="3" t="s">
        <v>416</v>
      </c>
      <c r="U28" s="3" t="s">
        <v>417</v>
      </c>
      <c r="V28" s="3" t="s">
        <v>418</v>
      </c>
    </row>
    <row r="29" spans="1:22" ht="41.4">
      <c r="A29" s="3" t="s">
        <v>196</v>
      </c>
      <c r="B29" s="3" t="s">
        <v>19</v>
      </c>
      <c r="C29" s="3" t="s">
        <v>20</v>
      </c>
      <c r="D29" s="3" t="s">
        <v>419</v>
      </c>
      <c r="E29" s="3" t="s">
        <v>420</v>
      </c>
      <c r="F29" s="4">
        <v>46226</v>
      </c>
      <c r="G29" s="4">
        <v>46257</v>
      </c>
      <c r="H29" s="3" t="s">
        <v>91</v>
      </c>
      <c r="I29" s="3">
        <v>2.5</v>
      </c>
      <c r="J29" s="3">
        <v>3.5</v>
      </c>
      <c r="K29" s="3">
        <v>3</v>
      </c>
      <c r="L29" s="3">
        <v>5</v>
      </c>
      <c r="M29" s="3">
        <f t="shared" si="0"/>
        <v>74</v>
      </c>
      <c r="N29" s="3" t="s">
        <v>421</v>
      </c>
      <c r="O29" s="3">
        <v>5</v>
      </c>
      <c r="P29" s="3" t="s">
        <v>422</v>
      </c>
      <c r="Q29" s="3" t="s">
        <v>423</v>
      </c>
      <c r="R29" s="3" t="s">
        <v>352</v>
      </c>
      <c r="S29" s="3" t="s">
        <v>424</v>
      </c>
      <c r="T29" s="3" t="s">
        <v>425</v>
      </c>
      <c r="U29" s="3" t="s">
        <v>200</v>
      </c>
      <c r="V29" s="3" t="s">
        <v>426</v>
      </c>
    </row>
    <row r="30" spans="1:22" ht="27.6">
      <c r="A30" s="3" t="s">
        <v>192</v>
      </c>
      <c r="B30" s="3" t="s">
        <v>19</v>
      </c>
      <c r="C30" s="3" t="s">
        <v>20</v>
      </c>
      <c r="D30" s="3" t="s">
        <v>427</v>
      </c>
      <c r="E30" s="3" t="s">
        <v>428</v>
      </c>
      <c r="F30" s="4">
        <v>46234</v>
      </c>
      <c r="G30" s="4">
        <v>46265</v>
      </c>
      <c r="H30" s="3" t="s">
        <v>429</v>
      </c>
      <c r="I30" s="3">
        <v>2</v>
      </c>
      <c r="J30" s="3">
        <v>3.5</v>
      </c>
      <c r="K30" s="3">
        <v>3</v>
      </c>
      <c r="L30" s="3">
        <v>4</v>
      </c>
      <c r="M30" s="3">
        <f t="shared" si="0"/>
        <v>69.5</v>
      </c>
      <c r="N30" s="3" t="s">
        <v>430</v>
      </c>
      <c r="O30" s="3">
        <v>5</v>
      </c>
      <c r="P30" s="3" t="s">
        <v>324</v>
      </c>
      <c r="Q30" s="3" t="s">
        <v>431</v>
      </c>
      <c r="R30" s="3" t="s">
        <v>320</v>
      </c>
      <c r="S30" s="3" t="s">
        <v>432</v>
      </c>
      <c r="T30" s="3" t="s">
        <v>433</v>
      </c>
      <c r="U30" s="3" t="s">
        <v>434</v>
      </c>
      <c r="V30" s="3" t="s">
        <v>435</v>
      </c>
    </row>
    <row r="31" spans="1:22" ht="27.6">
      <c r="A31" s="3" t="s">
        <v>164</v>
      </c>
      <c r="B31" s="3" t="s">
        <v>37</v>
      </c>
      <c r="C31" s="3" t="s">
        <v>46</v>
      </c>
      <c r="D31" s="3" t="s">
        <v>436</v>
      </c>
      <c r="E31" s="3" t="s">
        <v>203</v>
      </c>
      <c r="F31" s="4">
        <v>46218</v>
      </c>
      <c r="G31" s="4">
        <v>46265</v>
      </c>
      <c r="H31" s="3" t="s">
        <v>49</v>
      </c>
      <c r="I31" s="3">
        <v>4</v>
      </c>
      <c r="J31" s="3">
        <v>5</v>
      </c>
      <c r="K31" s="3">
        <v>2.5</v>
      </c>
      <c r="L31" s="3">
        <v>5</v>
      </c>
      <c r="M31" s="3">
        <f t="shared" si="0"/>
        <v>87.5</v>
      </c>
      <c r="N31" s="3" t="s">
        <v>437</v>
      </c>
      <c r="O31" s="3">
        <v>5</v>
      </c>
      <c r="P31" s="3" t="s">
        <v>438</v>
      </c>
      <c r="Q31" s="3" t="s">
        <v>439</v>
      </c>
      <c r="R31" s="3" t="s">
        <v>440</v>
      </c>
      <c r="S31" s="3" t="s">
        <v>441</v>
      </c>
      <c r="T31" s="3" t="s">
        <v>442</v>
      </c>
      <c r="U31" s="3" t="s">
        <v>443</v>
      </c>
      <c r="V31" s="3" t="s">
        <v>444</v>
      </c>
    </row>
    <row r="34" spans="1:22" ht="33.6" customHeight="1">
      <c r="A34" s="19" t="s">
        <v>445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</row>
  </sheetData>
  <mergeCells count="1">
    <mergeCell ref="A34:V34"/>
  </mergeCells>
  <conditionalFormatting sqref="I2:O31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M2:M31">
    <cfRule type="dataBar" priority="2">
      <dataBar>
        <cfvo type="min"/>
        <cfvo type="max"/>
        <color rgb="FF2563EB"/>
      </dataBar>
    </cfRule>
    <cfRule type="dataBar" priority="7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{8F3062D5-14F7-E935-1A4C-8982439C6C02}</x14:id>
        </ext>
      </extLst>
    </cfRule>
  </conditionalFormatting>
  <conditionalFormatting sqref="N2:N31">
    <cfRule type="expression" dxfId="19" priority="3">
      <formula>LEFT(N2,9)="SHORTLIST"</formula>
    </cfRule>
    <cfRule type="expression" dxfId="18" priority="4">
      <formula>LEFT(N2,9)="EXTENSION"</formula>
    </cfRule>
    <cfRule type="expression" dxfId="17" priority="5">
      <formula>LEFT(N2,6)="REJECT"</formula>
    </cfRule>
  </conditionalFormatting>
  <conditionalFormatting sqref="P2:P31">
    <cfRule type="expression" dxfId="16" priority="6">
      <formula>OR(ISNUMBER(SEARCH("Due today",P2)),ISNUMBER(SEARCH("1 day",P2)),ISNUMBER(SEARCH("Recently closed",P2)))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3062D5-14F7-E935-1A4C-8982439C6C02}">
            <x14:dataBar>
              <x14:cfvo type="min"/>
              <x14:cfvo type="max"/>
              <x14:negativeFillColor auto="1"/>
              <x14:axisColor auto="1"/>
            </x14:dataBar>
          </x14:cfRule>
          <xm:sqref>M2:M31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6"/>
  <sheetViews>
    <sheetView workbookViewId="0"/>
  </sheetViews>
  <sheetFormatPr defaultRowHeight="13.8"/>
  <cols>
    <col min="1" max="1" width="28" customWidth="1"/>
    <col min="2" max="2" width="95" customWidth="1"/>
    <col min="3" max="3" width="14" customWidth="1"/>
    <col min="4" max="5" width="15" customWidth="1"/>
    <col min="6" max="6" width="34" customWidth="1"/>
    <col min="7" max="7" width="36" customWidth="1"/>
    <col min="8" max="8" width="12" customWidth="1"/>
    <col min="9" max="9" width="58" customWidth="1"/>
    <col min="10" max="10" width="65" customWidth="1"/>
  </cols>
  <sheetData>
    <row r="1" spans="1:10" ht="27.6">
      <c r="A1" s="8" t="s">
        <v>0</v>
      </c>
      <c r="B1" s="8" t="s">
        <v>446</v>
      </c>
      <c r="C1" s="8" t="s">
        <v>447</v>
      </c>
      <c r="D1" s="8" t="s">
        <v>448</v>
      </c>
      <c r="E1" s="8" t="s">
        <v>449</v>
      </c>
      <c r="F1" s="8" t="s">
        <v>450</v>
      </c>
      <c r="G1" s="8" t="s">
        <v>451</v>
      </c>
      <c r="H1" s="8" t="s">
        <v>452</v>
      </c>
      <c r="I1" s="8" t="s">
        <v>453</v>
      </c>
      <c r="J1" s="8" t="s">
        <v>454</v>
      </c>
    </row>
    <row r="2" spans="1:10">
      <c r="A2" s="3" t="s">
        <v>18</v>
      </c>
      <c r="B2" s="9"/>
      <c r="C2" s="3"/>
      <c r="D2" s="3"/>
      <c r="E2" s="3"/>
      <c r="F2" s="3" t="s">
        <v>455</v>
      </c>
      <c r="G2" s="3" t="s">
        <v>456</v>
      </c>
      <c r="H2" s="3" t="s">
        <v>457</v>
      </c>
      <c r="I2" s="3" t="s">
        <v>25</v>
      </c>
      <c r="J2" s="3" t="s">
        <v>458</v>
      </c>
    </row>
    <row r="3" spans="1:10" ht="27.6">
      <c r="A3" s="3" t="s">
        <v>459</v>
      </c>
      <c r="B3" s="9">
        <f>D3/E3</f>
        <v>0.32967032967032966</v>
      </c>
      <c r="C3" s="3">
        <v>2025</v>
      </c>
      <c r="D3" s="3">
        <v>90</v>
      </c>
      <c r="E3" s="3">
        <v>273</v>
      </c>
      <c r="F3" s="3" t="s">
        <v>460</v>
      </c>
      <c r="G3" s="3" t="s">
        <v>461</v>
      </c>
      <c r="H3" s="3" t="s">
        <v>462</v>
      </c>
      <c r="I3" s="3" t="s">
        <v>463</v>
      </c>
      <c r="J3" s="3" t="s">
        <v>464</v>
      </c>
    </row>
    <row r="4" spans="1:10">
      <c r="A4" s="3" t="s">
        <v>45</v>
      </c>
      <c r="B4" s="9"/>
      <c r="C4" s="3"/>
      <c r="D4" s="3"/>
      <c r="E4" s="3"/>
      <c r="F4" s="3" t="s">
        <v>455</v>
      </c>
      <c r="G4" s="3" t="s">
        <v>456</v>
      </c>
      <c r="H4" s="3" t="s">
        <v>457</v>
      </c>
      <c r="I4" s="3" t="s">
        <v>51</v>
      </c>
      <c r="J4" s="3" t="s">
        <v>465</v>
      </c>
    </row>
    <row r="5" spans="1:10">
      <c r="A5" s="3" t="s">
        <v>69</v>
      </c>
      <c r="B5" s="9"/>
      <c r="C5" s="3"/>
      <c r="D5" s="3"/>
      <c r="E5" s="3"/>
      <c r="F5" s="3" t="s">
        <v>455</v>
      </c>
      <c r="G5" s="3" t="s">
        <v>456</v>
      </c>
      <c r="H5" s="3" t="s">
        <v>457</v>
      </c>
      <c r="I5" s="3" t="s">
        <v>466</v>
      </c>
      <c r="J5" s="3" t="s">
        <v>467</v>
      </c>
    </row>
    <row r="6" spans="1:10" ht="27.6">
      <c r="A6" s="3" t="s">
        <v>28</v>
      </c>
      <c r="B6" s="9">
        <f>D6/E6</f>
        <v>0.33333333333333331</v>
      </c>
      <c r="C6" s="3">
        <v>2025</v>
      </c>
      <c r="D6" s="3">
        <v>5</v>
      </c>
      <c r="E6" s="3">
        <v>15</v>
      </c>
      <c r="F6" s="3" t="s">
        <v>468</v>
      </c>
      <c r="G6" s="3" t="s">
        <v>469</v>
      </c>
      <c r="H6" s="3" t="s">
        <v>462</v>
      </c>
      <c r="I6" s="3" t="s">
        <v>470</v>
      </c>
      <c r="J6" s="3" t="s">
        <v>471</v>
      </c>
    </row>
    <row r="7" spans="1:10">
      <c r="A7" s="3" t="s">
        <v>36</v>
      </c>
      <c r="B7" s="9"/>
      <c r="C7" s="3">
        <v>2026</v>
      </c>
      <c r="D7" s="3"/>
      <c r="E7" s="3"/>
      <c r="F7" s="3" t="s">
        <v>472</v>
      </c>
      <c r="G7" s="3" t="s">
        <v>473</v>
      </c>
      <c r="H7" s="3" t="s">
        <v>457</v>
      </c>
      <c r="I7" s="3" t="s">
        <v>43</v>
      </c>
      <c r="J7" s="3" t="s">
        <v>474</v>
      </c>
    </row>
    <row r="8" spans="1:10" ht="27.6">
      <c r="A8" s="3" t="s">
        <v>475</v>
      </c>
      <c r="B8" s="9">
        <v>0.54</v>
      </c>
      <c r="C8" s="3">
        <v>2025</v>
      </c>
      <c r="D8" s="3">
        <v>27</v>
      </c>
      <c r="E8" s="3"/>
      <c r="F8" s="3" t="s">
        <v>476</v>
      </c>
      <c r="G8" s="3" t="s">
        <v>469</v>
      </c>
      <c r="H8" s="3" t="s">
        <v>462</v>
      </c>
      <c r="I8" s="3" t="s">
        <v>477</v>
      </c>
      <c r="J8" s="3" t="s">
        <v>478</v>
      </c>
    </row>
    <row r="9" spans="1:10">
      <c r="A9" s="3" t="s">
        <v>479</v>
      </c>
      <c r="B9" s="9"/>
      <c r="C9" s="3"/>
      <c r="D9" s="3"/>
      <c r="E9" s="3"/>
      <c r="F9" s="3" t="s">
        <v>455</v>
      </c>
      <c r="G9" s="3" t="s">
        <v>456</v>
      </c>
      <c r="H9" s="3" t="s">
        <v>457</v>
      </c>
      <c r="I9" s="3" t="s">
        <v>480</v>
      </c>
      <c r="J9" s="3" t="s">
        <v>481</v>
      </c>
    </row>
    <row r="10" spans="1:10">
      <c r="A10" s="3" t="s">
        <v>102</v>
      </c>
      <c r="B10" s="9"/>
      <c r="C10" s="3"/>
      <c r="D10" s="3"/>
      <c r="E10" s="3"/>
      <c r="F10" s="3" t="s">
        <v>455</v>
      </c>
      <c r="G10" s="3" t="s">
        <v>456</v>
      </c>
      <c r="H10" s="3" t="s">
        <v>457</v>
      </c>
      <c r="I10" s="3" t="s">
        <v>107</v>
      </c>
      <c r="J10" s="3" t="s">
        <v>482</v>
      </c>
    </row>
    <row r="11" spans="1:10" ht="27.6">
      <c r="A11" s="3" t="s">
        <v>61</v>
      </c>
      <c r="B11" s="9">
        <f>D11/E11</f>
        <v>0.40384615384615385</v>
      </c>
      <c r="C11" s="3">
        <v>2025</v>
      </c>
      <c r="D11" s="3">
        <v>21</v>
      </c>
      <c r="E11" s="3">
        <v>52</v>
      </c>
      <c r="F11" s="3" t="s">
        <v>483</v>
      </c>
      <c r="G11" s="3" t="s">
        <v>461</v>
      </c>
      <c r="H11" s="3" t="s">
        <v>462</v>
      </c>
      <c r="I11" s="3" t="s">
        <v>484</v>
      </c>
      <c r="J11" s="3" t="s">
        <v>485</v>
      </c>
    </row>
    <row r="12" spans="1:10">
      <c r="A12" s="3" t="s">
        <v>54</v>
      </c>
      <c r="B12" s="9">
        <v>0.31140000000000001</v>
      </c>
      <c r="C12" s="3">
        <v>2023</v>
      </c>
      <c r="D12" s="3">
        <v>38</v>
      </c>
      <c r="E12" s="3"/>
      <c r="F12" s="3" t="s">
        <v>486</v>
      </c>
      <c r="G12" s="3" t="s">
        <v>487</v>
      </c>
      <c r="H12" s="3" t="s">
        <v>462</v>
      </c>
      <c r="I12" s="3" t="s">
        <v>488</v>
      </c>
      <c r="J12" s="3" t="s">
        <v>489</v>
      </c>
    </row>
    <row r="13" spans="1:10" ht="27.6">
      <c r="A13" s="3" t="s">
        <v>490</v>
      </c>
      <c r="B13" s="9"/>
      <c r="C13" s="3"/>
      <c r="D13" s="3"/>
      <c r="E13" s="3"/>
      <c r="F13" s="3" t="s">
        <v>455</v>
      </c>
      <c r="G13" s="3" t="s">
        <v>456</v>
      </c>
      <c r="H13" s="3" t="s">
        <v>457</v>
      </c>
      <c r="I13" s="3" t="s">
        <v>491</v>
      </c>
      <c r="J13" s="3" t="s">
        <v>492</v>
      </c>
    </row>
    <row r="14" spans="1:10">
      <c r="A14" s="3" t="s">
        <v>493</v>
      </c>
      <c r="B14" s="9"/>
      <c r="C14" s="3"/>
      <c r="D14" s="3"/>
      <c r="E14" s="3"/>
      <c r="F14" s="3" t="s">
        <v>455</v>
      </c>
      <c r="G14" s="3" t="s">
        <v>456</v>
      </c>
      <c r="H14" s="3" t="s">
        <v>457</v>
      </c>
      <c r="I14" s="3" t="s">
        <v>494</v>
      </c>
      <c r="J14" s="3" t="s">
        <v>495</v>
      </c>
    </row>
    <row r="15" spans="1:10" ht="27.6">
      <c r="A15" s="3" t="s">
        <v>496</v>
      </c>
      <c r="B15" s="9"/>
      <c r="C15" s="3"/>
      <c r="D15" s="3"/>
      <c r="E15" s="3"/>
      <c r="F15" s="3" t="s">
        <v>497</v>
      </c>
      <c r="G15" s="3" t="s">
        <v>498</v>
      </c>
      <c r="H15" s="3" t="s">
        <v>457</v>
      </c>
      <c r="I15" s="3" t="s">
        <v>499</v>
      </c>
      <c r="J15" s="3" t="s">
        <v>500</v>
      </c>
    </row>
    <row r="16" spans="1:10" ht="27.6">
      <c r="A16" s="3" t="s">
        <v>501</v>
      </c>
      <c r="B16" s="9"/>
      <c r="C16" s="3"/>
      <c r="D16" s="3"/>
      <c r="E16" s="3"/>
      <c r="F16" s="3" t="s">
        <v>497</v>
      </c>
      <c r="G16" s="3" t="s">
        <v>498</v>
      </c>
      <c r="H16" s="3" t="s">
        <v>457</v>
      </c>
      <c r="I16" s="3" t="s">
        <v>502</v>
      </c>
      <c r="J16" s="3" t="s">
        <v>503</v>
      </c>
    </row>
    <row r="17" spans="1:10" ht="27.6">
      <c r="A17" s="3" t="s">
        <v>133</v>
      </c>
      <c r="B17" s="9">
        <v>0.184</v>
      </c>
      <c r="C17" s="3">
        <v>2025</v>
      </c>
      <c r="D17" s="3"/>
      <c r="E17" s="3"/>
      <c r="F17" s="3" t="s">
        <v>504</v>
      </c>
      <c r="G17" s="3" t="s">
        <v>505</v>
      </c>
      <c r="H17" s="3" t="s">
        <v>462</v>
      </c>
      <c r="I17" s="3" t="s">
        <v>137</v>
      </c>
      <c r="J17" s="3" t="s">
        <v>506</v>
      </c>
    </row>
    <row r="18" spans="1:10">
      <c r="A18" s="3" t="s">
        <v>76</v>
      </c>
      <c r="B18" s="9"/>
      <c r="C18" s="3"/>
      <c r="D18" s="3"/>
      <c r="E18" s="3"/>
      <c r="F18" s="3" t="s">
        <v>455</v>
      </c>
      <c r="G18" s="3" t="s">
        <v>456</v>
      </c>
      <c r="H18" s="3" t="s">
        <v>457</v>
      </c>
      <c r="I18" s="3" t="s">
        <v>80</v>
      </c>
      <c r="J18" s="3" t="s">
        <v>507</v>
      </c>
    </row>
    <row r="19" spans="1:10">
      <c r="A19" s="3" t="s">
        <v>83</v>
      </c>
      <c r="B19" s="9"/>
      <c r="C19" s="3"/>
      <c r="D19" s="3"/>
      <c r="E19" s="3"/>
      <c r="F19" s="3" t="s">
        <v>455</v>
      </c>
      <c r="G19" s="3" t="s">
        <v>508</v>
      </c>
      <c r="H19" s="3" t="s">
        <v>457</v>
      </c>
      <c r="I19" s="3" t="s">
        <v>509</v>
      </c>
      <c r="J19" s="3" t="s">
        <v>510</v>
      </c>
    </row>
    <row r="20" spans="1:10" ht="27.6">
      <c r="A20" s="3" t="s">
        <v>88</v>
      </c>
      <c r="B20" s="9">
        <f>D20/E20</f>
        <v>0.52702702702702697</v>
      </c>
      <c r="C20" s="3">
        <v>2025</v>
      </c>
      <c r="D20" s="3">
        <v>39</v>
      </c>
      <c r="E20" s="3">
        <v>74</v>
      </c>
      <c r="F20" s="3" t="s">
        <v>483</v>
      </c>
      <c r="G20" s="3" t="s">
        <v>511</v>
      </c>
      <c r="H20" s="3" t="s">
        <v>512</v>
      </c>
      <c r="I20" s="3" t="s">
        <v>513</v>
      </c>
      <c r="J20" s="3" t="s">
        <v>514</v>
      </c>
    </row>
    <row r="21" spans="1:10">
      <c r="A21" s="3" t="s">
        <v>96</v>
      </c>
      <c r="B21" s="9"/>
      <c r="C21" s="3"/>
      <c r="D21" s="3"/>
      <c r="E21" s="3"/>
      <c r="F21" s="3" t="s">
        <v>455</v>
      </c>
      <c r="G21" s="3" t="s">
        <v>456</v>
      </c>
      <c r="H21" s="3" t="s">
        <v>457</v>
      </c>
      <c r="I21" s="3" t="s">
        <v>515</v>
      </c>
      <c r="J21" s="3" t="s">
        <v>516</v>
      </c>
    </row>
    <row r="22" spans="1:10" ht="27.6">
      <c r="A22" s="3" t="s">
        <v>517</v>
      </c>
      <c r="B22" s="9"/>
      <c r="C22" s="3"/>
      <c r="D22" s="3"/>
      <c r="E22" s="3"/>
      <c r="F22" s="3" t="s">
        <v>455</v>
      </c>
      <c r="G22" s="3" t="s">
        <v>456</v>
      </c>
      <c r="H22" s="3" t="s">
        <v>457</v>
      </c>
      <c r="I22" s="3" t="s">
        <v>115</v>
      </c>
      <c r="J22" s="3" t="s">
        <v>518</v>
      </c>
    </row>
    <row r="23" spans="1:10" ht="27.6">
      <c r="A23" s="3" t="s">
        <v>118</v>
      </c>
      <c r="B23" s="9"/>
      <c r="C23" s="3">
        <v>2026</v>
      </c>
      <c r="D23" s="3"/>
      <c r="E23" s="3"/>
      <c r="F23" s="3" t="s">
        <v>472</v>
      </c>
      <c r="G23" s="3" t="s">
        <v>519</v>
      </c>
      <c r="H23" s="3" t="s">
        <v>457</v>
      </c>
      <c r="I23" s="3" t="s">
        <v>124</v>
      </c>
      <c r="J23" s="3" t="s">
        <v>520</v>
      </c>
    </row>
    <row r="24" spans="1:10">
      <c r="A24" s="3" t="s">
        <v>126</v>
      </c>
      <c r="B24" s="9"/>
      <c r="C24" s="3"/>
      <c r="D24" s="3"/>
      <c r="E24" s="3"/>
      <c r="F24" s="3" t="s">
        <v>455</v>
      </c>
      <c r="G24" s="3" t="s">
        <v>456</v>
      </c>
      <c r="H24" s="3" t="s">
        <v>457</v>
      </c>
      <c r="I24" s="3" t="s">
        <v>131</v>
      </c>
      <c r="J24" s="3" t="s">
        <v>521</v>
      </c>
    </row>
    <row r="25" spans="1:10" ht="27.6">
      <c r="A25" s="3" t="s">
        <v>140</v>
      </c>
      <c r="B25" s="9"/>
      <c r="C25" s="3">
        <v>2025</v>
      </c>
      <c r="D25" s="3"/>
      <c r="E25" s="3"/>
      <c r="F25" s="3" t="s">
        <v>522</v>
      </c>
      <c r="G25" s="3" t="s">
        <v>523</v>
      </c>
      <c r="H25" s="3" t="s">
        <v>524</v>
      </c>
      <c r="I25" s="3" t="s">
        <v>144</v>
      </c>
      <c r="J25" s="3" t="s">
        <v>525</v>
      </c>
    </row>
    <row r="26" spans="1:10" ht="27.6">
      <c r="A26" s="3" t="s">
        <v>146</v>
      </c>
      <c r="B26" s="9"/>
      <c r="C26" s="3">
        <v>2026</v>
      </c>
      <c r="D26" s="3"/>
      <c r="E26" s="3"/>
      <c r="F26" s="3" t="s">
        <v>526</v>
      </c>
      <c r="G26" s="3" t="s">
        <v>527</v>
      </c>
      <c r="H26" s="3" t="s">
        <v>457</v>
      </c>
      <c r="I26" s="3" t="s">
        <v>153</v>
      </c>
      <c r="J26" s="3" t="s">
        <v>528</v>
      </c>
    </row>
    <row r="27" spans="1:10" ht="27.6">
      <c r="A27" s="3" t="s">
        <v>156</v>
      </c>
      <c r="B27" s="9"/>
      <c r="C27" s="3">
        <v>2026</v>
      </c>
      <c r="D27" s="3"/>
      <c r="E27" s="3"/>
      <c r="F27" s="3" t="s">
        <v>472</v>
      </c>
      <c r="G27" s="3" t="s">
        <v>529</v>
      </c>
      <c r="H27" s="3" t="s">
        <v>457</v>
      </c>
      <c r="I27" s="3" t="s">
        <v>161</v>
      </c>
      <c r="J27" s="3" t="s">
        <v>530</v>
      </c>
    </row>
    <row r="28" spans="1:10" ht="27.6">
      <c r="A28" s="3" t="s">
        <v>345</v>
      </c>
      <c r="B28" s="9"/>
      <c r="C28" s="3">
        <v>2026</v>
      </c>
      <c r="D28" s="3"/>
      <c r="E28" s="3"/>
      <c r="F28" s="3" t="s">
        <v>472</v>
      </c>
      <c r="G28" s="3" t="s">
        <v>531</v>
      </c>
      <c r="H28" s="3" t="s">
        <v>457</v>
      </c>
      <c r="I28" s="3" t="s">
        <v>354</v>
      </c>
      <c r="J28" s="3" t="s">
        <v>532</v>
      </c>
    </row>
    <row r="29" spans="1:10">
      <c r="A29" s="3" t="s">
        <v>357</v>
      </c>
      <c r="B29" s="9">
        <f>D29/E29</f>
        <v>0.7142857142857143</v>
      </c>
      <c r="C29" s="3">
        <v>2025</v>
      </c>
      <c r="D29" s="3">
        <v>15</v>
      </c>
      <c r="E29" s="3">
        <v>21</v>
      </c>
      <c r="F29" s="3" t="s">
        <v>533</v>
      </c>
      <c r="G29" s="3" t="s">
        <v>469</v>
      </c>
      <c r="H29" s="3" t="s">
        <v>462</v>
      </c>
      <c r="I29" s="3" t="s">
        <v>534</v>
      </c>
      <c r="J29" s="3" t="s">
        <v>535</v>
      </c>
    </row>
    <row r="30" spans="1:10" ht="27.6">
      <c r="A30" s="3" t="s">
        <v>367</v>
      </c>
      <c r="B30" s="9"/>
      <c r="C30" s="3">
        <v>2025</v>
      </c>
      <c r="D30" s="3">
        <v>5</v>
      </c>
      <c r="E30" s="3"/>
      <c r="F30" s="3" t="s">
        <v>536</v>
      </c>
      <c r="G30" s="3" t="s">
        <v>537</v>
      </c>
      <c r="H30" s="3" t="s">
        <v>524</v>
      </c>
      <c r="I30" s="3" t="s">
        <v>538</v>
      </c>
      <c r="J30" s="3" t="s">
        <v>539</v>
      </c>
    </row>
    <row r="31" spans="1:10" ht="27.6">
      <c r="A31" s="3" t="s">
        <v>187</v>
      </c>
      <c r="B31" s="9">
        <f>D31/E31</f>
        <v>0.66666666666666663</v>
      </c>
      <c r="C31" s="3">
        <v>2025</v>
      </c>
      <c r="D31" s="3">
        <v>6</v>
      </c>
      <c r="E31" s="3">
        <v>9</v>
      </c>
      <c r="F31" s="3" t="s">
        <v>540</v>
      </c>
      <c r="G31" s="3" t="s">
        <v>469</v>
      </c>
      <c r="H31" s="3" t="s">
        <v>462</v>
      </c>
      <c r="I31" s="3" t="s">
        <v>541</v>
      </c>
      <c r="J31" s="3" t="s">
        <v>542</v>
      </c>
    </row>
    <row r="32" spans="1:10" ht="27.6">
      <c r="A32" s="3" t="s">
        <v>383</v>
      </c>
      <c r="B32" s="9"/>
      <c r="C32" s="3">
        <v>2026</v>
      </c>
      <c r="D32" s="3"/>
      <c r="E32" s="3"/>
      <c r="F32" s="3" t="s">
        <v>472</v>
      </c>
      <c r="G32" s="3" t="s">
        <v>519</v>
      </c>
      <c r="H32" s="3" t="s">
        <v>457</v>
      </c>
      <c r="I32" s="3" t="s">
        <v>389</v>
      </c>
      <c r="J32" s="3" t="s">
        <v>543</v>
      </c>
    </row>
    <row r="33" spans="1:10">
      <c r="A33" s="3" t="s">
        <v>182</v>
      </c>
      <c r="B33" s="9"/>
      <c r="C33" s="3"/>
      <c r="D33" s="3"/>
      <c r="E33" s="3"/>
      <c r="F33" s="3" t="s">
        <v>455</v>
      </c>
      <c r="G33" s="3" t="s">
        <v>456</v>
      </c>
      <c r="H33" s="3" t="s">
        <v>457</v>
      </c>
      <c r="I33" s="3" t="s">
        <v>397</v>
      </c>
      <c r="J33" s="3" t="s">
        <v>544</v>
      </c>
    </row>
    <row r="34" spans="1:10">
      <c r="A34" s="3" t="s">
        <v>399</v>
      </c>
      <c r="B34" s="9"/>
      <c r="C34" s="3"/>
      <c r="D34" s="3"/>
      <c r="E34" s="3"/>
      <c r="F34" s="3" t="s">
        <v>455</v>
      </c>
      <c r="G34" s="3" t="s">
        <v>456</v>
      </c>
      <c r="H34" s="3" t="s">
        <v>457</v>
      </c>
      <c r="I34" s="3" t="s">
        <v>406</v>
      </c>
      <c r="J34" s="3" t="s">
        <v>545</v>
      </c>
    </row>
    <row r="35" spans="1:10">
      <c r="A35" s="3" t="s">
        <v>196</v>
      </c>
      <c r="B35" s="9"/>
      <c r="C35" s="3"/>
      <c r="D35" s="3"/>
      <c r="E35" s="3"/>
      <c r="F35" s="3" t="s">
        <v>455</v>
      </c>
      <c r="G35" s="3" t="s">
        <v>456</v>
      </c>
      <c r="H35" s="3" t="s">
        <v>457</v>
      </c>
      <c r="I35" s="3" t="s">
        <v>425</v>
      </c>
      <c r="J35" s="3" t="s">
        <v>546</v>
      </c>
    </row>
    <row r="36" spans="1:10">
      <c r="A36" s="3" t="s">
        <v>192</v>
      </c>
      <c r="B36" s="9"/>
      <c r="C36" s="3"/>
      <c r="D36" s="3"/>
      <c r="E36" s="3"/>
      <c r="F36" s="3" t="s">
        <v>455</v>
      </c>
      <c r="G36" s="3" t="s">
        <v>547</v>
      </c>
      <c r="H36" s="3" t="s">
        <v>457</v>
      </c>
      <c r="I36" s="3" t="s">
        <v>433</v>
      </c>
      <c r="J36" s="3" t="s">
        <v>548</v>
      </c>
    </row>
    <row r="37" spans="1:10" ht="27.6">
      <c r="A37" s="3" t="s">
        <v>409</v>
      </c>
      <c r="B37" s="9">
        <f>D37/E37</f>
        <v>0.90909090909090906</v>
      </c>
      <c r="C37" s="3">
        <v>2025</v>
      </c>
      <c r="D37" s="3">
        <v>10</v>
      </c>
      <c r="E37" s="3">
        <v>11</v>
      </c>
      <c r="F37" s="3" t="s">
        <v>549</v>
      </c>
      <c r="G37" s="3" t="s">
        <v>550</v>
      </c>
      <c r="H37" s="3" t="s">
        <v>512</v>
      </c>
      <c r="I37" s="3" t="s">
        <v>551</v>
      </c>
      <c r="J37" s="3" t="s">
        <v>552</v>
      </c>
    </row>
    <row r="38" spans="1:10" ht="27.6">
      <c r="A38" s="3" t="s">
        <v>164</v>
      </c>
      <c r="B38" s="9"/>
      <c r="C38" s="3"/>
      <c r="D38" s="3"/>
      <c r="E38" s="3"/>
      <c r="F38" s="3" t="s">
        <v>455</v>
      </c>
      <c r="G38" s="3" t="s">
        <v>553</v>
      </c>
      <c r="H38" s="3" t="s">
        <v>457</v>
      </c>
      <c r="I38" s="3" t="s">
        <v>167</v>
      </c>
      <c r="J38" s="3" t="s">
        <v>554</v>
      </c>
    </row>
    <row r="41" spans="1:10">
      <c r="A41" s="8" t="s">
        <v>555</v>
      </c>
      <c r="B41" s="8"/>
    </row>
    <row r="42" spans="1:10">
      <c r="A42" s="3" t="s">
        <v>556</v>
      </c>
      <c r="B42" s="3" t="s">
        <v>557</v>
      </c>
    </row>
    <row r="43" spans="1:10">
      <c r="A43" s="3" t="s">
        <v>558</v>
      </c>
      <c r="B43" s="3" t="s">
        <v>559</v>
      </c>
    </row>
    <row r="44" spans="1:10" ht="27.6">
      <c r="A44" s="3" t="s">
        <v>560</v>
      </c>
      <c r="B44" s="3" t="s">
        <v>561</v>
      </c>
    </row>
    <row r="45" spans="1:10">
      <c r="A45" s="3" t="s">
        <v>562</v>
      </c>
      <c r="B45" s="3" t="s">
        <v>563</v>
      </c>
    </row>
    <row r="46" spans="1:10">
      <c r="A46" s="3" t="s">
        <v>564</v>
      </c>
      <c r="B46" s="3" t="s">
        <v>565</v>
      </c>
    </row>
  </sheetData>
  <conditionalFormatting sqref="B2:B38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H2:H38">
    <cfRule type="expression" dxfId="15" priority="2">
      <formula>H2="High"</formula>
    </cfRule>
    <cfRule type="expression" dxfId="14" priority="3">
      <formula>H2="Medium"</formula>
    </cfRule>
    <cfRule type="expression" dxfId="13" priority="4">
      <formula>H2="Low"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7"/>
  <sheetViews>
    <sheetView topLeftCell="C1" workbookViewId="0">
      <selection activeCell="I2" sqref="I2"/>
    </sheetView>
  </sheetViews>
  <sheetFormatPr defaultRowHeight="13.8"/>
  <cols>
    <col min="1" max="1" width="28" customWidth="1"/>
    <col min="2" max="2" width="110" customWidth="1"/>
    <col min="3" max="3" width="35" customWidth="1"/>
    <col min="4" max="4" width="19" customWidth="1"/>
    <col min="5" max="5" width="18" customWidth="1"/>
    <col min="6" max="7" width="12" customWidth="1"/>
    <col min="8" max="8" width="21" customWidth="1"/>
    <col min="9" max="9" width="22" customWidth="1"/>
    <col min="10" max="15" width="15" customWidth="1"/>
    <col min="16" max="17" width="14" customWidth="1"/>
    <col min="18" max="18" width="58" customWidth="1"/>
    <col min="19" max="19" width="70" customWidth="1"/>
    <col min="20" max="20" width="58" customWidth="1"/>
  </cols>
  <sheetData>
    <row r="1" spans="1:20" ht="41.4">
      <c r="A1" s="10" t="s">
        <v>0</v>
      </c>
      <c r="B1" s="10" t="s">
        <v>566</v>
      </c>
      <c r="C1" s="10" t="s">
        <v>567</v>
      </c>
      <c r="D1" s="10" t="s">
        <v>568</v>
      </c>
      <c r="E1" s="10" t="s">
        <v>569</v>
      </c>
      <c r="F1" s="10" t="s">
        <v>570</v>
      </c>
      <c r="G1" s="10" t="s">
        <v>449</v>
      </c>
      <c r="H1" s="10" t="s">
        <v>571</v>
      </c>
      <c r="I1" s="10" t="s">
        <v>572</v>
      </c>
      <c r="J1" s="10" t="s">
        <v>573</v>
      </c>
      <c r="K1" s="10" t="s">
        <v>574</v>
      </c>
      <c r="L1" s="10" t="s">
        <v>575</v>
      </c>
      <c r="M1" s="10" t="s">
        <v>576</v>
      </c>
      <c r="N1" s="10" t="s">
        <v>577</v>
      </c>
      <c r="O1" s="10" t="s">
        <v>578</v>
      </c>
      <c r="P1" s="10" t="s">
        <v>12</v>
      </c>
      <c r="Q1" s="10" t="s">
        <v>579</v>
      </c>
      <c r="R1" s="10" t="s">
        <v>580</v>
      </c>
      <c r="S1" s="10" t="s">
        <v>581</v>
      </c>
      <c r="T1" s="10" t="s">
        <v>454</v>
      </c>
    </row>
    <row r="2" spans="1:20" ht="27.6">
      <c r="A2" s="3" t="s">
        <v>459</v>
      </c>
      <c r="B2" s="3" t="s">
        <v>318</v>
      </c>
      <c r="C2" s="3" t="s">
        <v>587</v>
      </c>
      <c r="D2" s="3" t="s">
        <v>588</v>
      </c>
      <c r="E2" s="9"/>
      <c r="F2" s="3">
        <v>90</v>
      </c>
      <c r="G2" s="3">
        <v>273</v>
      </c>
      <c r="H2" s="3" t="s">
        <v>589</v>
      </c>
      <c r="I2" s="9">
        <f>IF(H2="Exact count",(F2+7)/(G2+20),IF(H2="Official rate",(E2+0.3)/2,IF(H2="Parent proxy",(F2+15)/(G2+50),IF(H2="Unknown established",0.25,IF(H2="First edition",0.2,0.15)))))</f>
        <v>0.33105802047781568</v>
      </c>
      <c r="J2" s="11">
        <f>IF(I2&gt;=0.5,5,IF(I2&gt;=0.42,4.5,IF(I2&gt;=0.35,4,IF(I2&gt;=0.28,3.5,IF(I2&gt;=0.2,2.5,1.5)))))</f>
        <v>3.5</v>
      </c>
      <c r="K2" s="11">
        <f>IF(H2="Exact count",IF(G2&gt;=200,5,IF(G2&gt;=100,4.5,IF(G2&gt;=50,4,IF(G2&gt;=20,3,IF(G2&gt;=10,2,1))))),IF(H2="Official rate",2,IF(H2="Parent proxy",2.5,1)))</f>
        <v>5</v>
      </c>
      <c r="L2" s="11">
        <v>4</v>
      </c>
      <c r="M2" s="11">
        <v>5</v>
      </c>
      <c r="N2" s="11">
        <v>5</v>
      </c>
      <c r="O2" s="11">
        <v>5</v>
      </c>
      <c r="P2" s="11">
        <f>IF(D2="FAIL",0,ROUND(20*(0.25*J2+0.1*K2+0.2*L2+0.2*M2+0.15*N2+0.1*O2),1))</f>
        <v>88.5</v>
      </c>
      <c r="Q2" s="3">
        <f>IF(P2=0,"",RANK(P2,$P$2:$P$28,0))</f>
        <v>1</v>
      </c>
      <c r="R2" s="3" t="s">
        <v>590</v>
      </c>
      <c r="S2" s="3" t="s">
        <v>591</v>
      </c>
      <c r="T2" s="3" t="s">
        <v>592</v>
      </c>
    </row>
    <row r="3" spans="1:20" ht="27.6">
      <c r="A3" s="3" t="s">
        <v>475</v>
      </c>
      <c r="B3" s="3" t="s">
        <v>318</v>
      </c>
      <c r="C3" s="3" t="s">
        <v>610</v>
      </c>
      <c r="D3" s="3" t="s">
        <v>583</v>
      </c>
      <c r="E3" s="9"/>
      <c r="F3" s="3">
        <v>27</v>
      </c>
      <c r="G3" s="3">
        <v>50</v>
      </c>
      <c r="H3" s="3" t="s">
        <v>589</v>
      </c>
      <c r="I3" s="9">
        <f>IF(H3="Exact count",(F3+7)/(G3+20),IF(H3="Official rate",(E3+0.3)/2,IF(H3="Parent proxy",(F3+15)/(G3+50),IF(H3="Unknown established",0.25,IF(H3="First edition",0.2,0.15)))))</f>
        <v>0.48571428571428571</v>
      </c>
      <c r="J3" s="11">
        <f>IF(I3&gt;=0.5,5,IF(I3&gt;=0.42,4.5,IF(I3&gt;=0.35,4,IF(I3&gt;=0.28,3.5,IF(I3&gt;=0.2,2.5,1.5)))))</f>
        <v>4.5</v>
      </c>
      <c r="K3" s="11">
        <f>IF(H3="Exact count",IF(G3&gt;=200,5,IF(G3&gt;=100,4.5,IF(G3&gt;=50,4,IF(G3&gt;=20,3,IF(G3&gt;=10,2,1))))),IF(H3="Official rate",2,IF(H3="Parent proxy",2.5,1)))</f>
        <v>4</v>
      </c>
      <c r="L3" s="11">
        <v>5</v>
      </c>
      <c r="M3" s="11">
        <v>5</v>
      </c>
      <c r="N3" s="11">
        <v>2.5</v>
      </c>
      <c r="O3" s="11">
        <v>4</v>
      </c>
      <c r="P3" s="11">
        <f>IF(D3="FAIL",0,ROUND(20*(0.25*J3+0.1*K3+0.2*L3+0.2*M3+0.15*N3+0.1*O3),1))</f>
        <v>86</v>
      </c>
      <c r="Q3" s="3">
        <f>IF(P3=0,"",RANK(P3,$P$2:$P$28,0))</f>
        <v>2</v>
      </c>
      <c r="R3" s="3" t="s">
        <v>611</v>
      </c>
      <c r="S3" s="3" t="s">
        <v>612</v>
      </c>
      <c r="T3" s="3" t="s">
        <v>613</v>
      </c>
    </row>
    <row r="4" spans="1:20" ht="27.6">
      <c r="A4" s="3" t="s">
        <v>61</v>
      </c>
      <c r="B4" s="3" t="s">
        <v>318</v>
      </c>
      <c r="C4" s="3" t="s">
        <v>621</v>
      </c>
      <c r="D4" s="3" t="s">
        <v>583</v>
      </c>
      <c r="E4" s="9"/>
      <c r="F4" s="3">
        <v>21</v>
      </c>
      <c r="G4" s="3">
        <v>52</v>
      </c>
      <c r="H4" s="3" t="s">
        <v>589</v>
      </c>
      <c r="I4" s="9">
        <f>IF(H4="Exact count",(F4+7)/(G4+20),IF(H4="Official rate",(E4+0.3)/2,IF(H4="Parent proxy",(F4+15)/(G4+50),IF(H4="Unknown established",0.25,IF(H4="First edition",0.2,0.15)))))</f>
        <v>0.3888888888888889</v>
      </c>
      <c r="J4" s="11">
        <f>IF(I4&gt;=0.5,5,IF(I4&gt;=0.42,4.5,IF(I4&gt;=0.35,4,IF(I4&gt;=0.28,3.5,IF(I4&gt;=0.2,2.5,1.5)))))</f>
        <v>4</v>
      </c>
      <c r="K4" s="11">
        <f>IF(H4="Exact count",IF(G4&gt;=200,5,IF(G4&gt;=100,4.5,IF(G4&gt;=50,4,IF(G4&gt;=20,3,IF(G4&gt;=10,2,1))))),IF(H4="Official rate",2,IF(H4="Parent proxy",2.5,1)))</f>
        <v>4</v>
      </c>
      <c r="L4" s="11">
        <v>5</v>
      </c>
      <c r="M4" s="11">
        <v>3</v>
      </c>
      <c r="N4" s="11">
        <v>4</v>
      </c>
      <c r="O4" s="11">
        <v>3</v>
      </c>
      <c r="P4" s="11">
        <f>IF(D4="FAIL",0,ROUND(20*(0.25*J4+0.1*K4+0.2*L4+0.2*M4+0.15*N4+0.1*O4),1))</f>
        <v>78</v>
      </c>
      <c r="Q4" s="3">
        <f>IF(P4=0,"",RANK(P4,$P$2:$P$28,0))</f>
        <v>3</v>
      </c>
      <c r="R4" s="3" t="s">
        <v>622</v>
      </c>
      <c r="S4" s="3" t="s">
        <v>623</v>
      </c>
      <c r="T4" s="3" t="s">
        <v>624</v>
      </c>
    </row>
    <row r="5" spans="1:20" ht="27.6">
      <c r="A5" s="3" t="s">
        <v>18</v>
      </c>
      <c r="B5" s="3" t="s">
        <v>318</v>
      </c>
      <c r="C5" s="3" t="s">
        <v>582</v>
      </c>
      <c r="D5" s="3" t="s">
        <v>583</v>
      </c>
      <c r="E5" s="9"/>
      <c r="F5" s="3"/>
      <c r="G5" s="3"/>
      <c r="H5" s="3" t="s">
        <v>584</v>
      </c>
      <c r="I5" s="9">
        <f>IF(H5="Exact count",(F5+7)/(G5+20),IF(H5="Official rate",(E5+0.3)/2,IF(H5="Parent proxy",(F5+15)/(G5+50),IF(H5="Unknown established",0.25,IF(H5="First edition",0.2,0.15)))))</f>
        <v>0.25</v>
      </c>
      <c r="J5" s="11">
        <f>IF(I5&gt;=0.5,5,IF(I5&gt;=0.42,4.5,IF(I5&gt;=0.35,4,IF(I5&gt;=0.28,3.5,IF(I5&gt;=0.2,2.5,1.5)))))</f>
        <v>2.5</v>
      </c>
      <c r="K5" s="11">
        <f>IF(H5="Exact count",IF(G5&gt;=200,5,IF(G5&gt;=100,4.5,IF(G5&gt;=50,4,IF(G5&gt;=20,3,IF(G5&gt;=10,2,1))))),IF(H5="Official rate",2,IF(H5="Parent proxy",2.5,1)))</f>
        <v>1</v>
      </c>
      <c r="L5" s="11">
        <v>5</v>
      </c>
      <c r="M5" s="11">
        <v>4.5</v>
      </c>
      <c r="N5" s="11">
        <v>5</v>
      </c>
      <c r="O5" s="11">
        <v>5</v>
      </c>
      <c r="P5" s="11">
        <f>IF(D5="FAIL",0,ROUND(20*(0.25*J5+0.1*K5+0.2*L5+0.2*M5+0.15*N5+0.1*O5),1))</f>
        <v>77.5</v>
      </c>
      <c r="Q5" s="3">
        <f>IF(P5=0,"",RANK(P5,$P$2:$P$28,0))</f>
        <v>4</v>
      </c>
      <c r="R5" s="3" t="s">
        <v>585</v>
      </c>
      <c r="S5" s="3" t="s">
        <v>25</v>
      </c>
      <c r="T5" s="3" t="s">
        <v>586</v>
      </c>
    </row>
    <row r="6" spans="1:20" ht="27.6">
      <c r="A6" s="3" t="s">
        <v>28</v>
      </c>
      <c r="B6" s="3" t="s">
        <v>318</v>
      </c>
      <c r="C6" s="3" t="s">
        <v>602</v>
      </c>
      <c r="D6" s="3" t="s">
        <v>583</v>
      </c>
      <c r="E6" s="9"/>
      <c r="F6" s="3">
        <v>5</v>
      </c>
      <c r="G6" s="3">
        <v>15</v>
      </c>
      <c r="H6" s="3" t="s">
        <v>589</v>
      </c>
      <c r="I6" s="9">
        <f>IF(H6="Exact count",(F6+7)/(G6+20),IF(H6="Official rate",(E6+0.3)/2,IF(H6="Parent proxy",(F6+15)/(G6+50),IF(H6="Unknown established",0.25,IF(H6="First edition",0.2,0.15)))))</f>
        <v>0.34285714285714286</v>
      </c>
      <c r="J6" s="11">
        <f>IF(I6&gt;=0.5,5,IF(I6&gt;=0.42,4.5,IF(I6&gt;=0.35,4,IF(I6&gt;=0.28,3.5,IF(I6&gt;=0.2,2.5,1.5)))))</f>
        <v>3.5</v>
      </c>
      <c r="K6" s="11">
        <f>IF(H6="Exact count",IF(G6&gt;=200,5,IF(G6&gt;=100,4.5,IF(G6&gt;=50,4,IF(G6&gt;=20,3,IF(G6&gt;=10,2,1))))),IF(H6="Official rate",2,IF(H6="Parent proxy",2.5,1)))</f>
        <v>2</v>
      </c>
      <c r="L6" s="11">
        <v>4</v>
      </c>
      <c r="M6" s="11">
        <v>3.5</v>
      </c>
      <c r="N6" s="11">
        <v>5</v>
      </c>
      <c r="O6" s="11">
        <v>5</v>
      </c>
      <c r="P6" s="11">
        <f>IF(D6="FAIL",0,ROUND(20*(0.25*J6+0.1*K6+0.2*L6+0.2*M6+0.15*N6+0.1*O6),1))</f>
        <v>76.5</v>
      </c>
      <c r="Q6" s="3">
        <f>IF(P6=0,"",RANK(P6,$P$2:$P$28,0))</f>
        <v>5</v>
      </c>
      <c r="R6" s="3" t="s">
        <v>603</v>
      </c>
      <c r="S6" s="3" t="s">
        <v>604</v>
      </c>
      <c r="T6" s="3" t="s">
        <v>605</v>
      </c>
    </row>
    <row r="7" spans="1:20" ht="27.6">
      <c r="A7" s="3" t="s">
        <v>45</v>
      </c>
      <c r="B7" s="3" t="s">
        <v>593</v>
      </c>
      <c r="C7" s="3" t="s">
        <v>594</v>
      </c>
      <c r="D7" s="3" t="s">
        <v>588</v>
      </c>
      <c r="E7" s="9"/>
      <c r="F7" s="3"/>
      <c r="G7" s="3"/>
      <c r="H7" s="3" t="s">
        <v>584</v>
      </c>
      <c r="I7" s="9">
        <f>IF(H7="Exact count",(F7+7)/(G7+20),IF(H7="Official rate",(E7+0.3)/2,IF(H7="Parent proxy",(F7+15)/(G7+50),IF(H7="Unknown established",0.25,IF(H7="First edition",0.2,0.15)))))</f>
        <v>0.25</v>
      </c>
      <c r="J7" s="11">
        <f>IF(I7&gt;=0.5,5,IF(I7&gt;=0.42,4.5,IF(I7&gt;=0.35,4,IF(I7&gt;=0.28,3.5,IF(I7&gt;=0.2,2.5,1.5)))))</f>
        <v>2.5</v>
      </c>
      <c r="K7" s="11">
        <f>IF(H7="Exact count",IF(G7&gt;=200,5,IF(G7&gt;=100,4.5,IF(G7&gt;=50,4,IF(G7&gt;=20,3,IF(G7&gt;=10,2,1))))),IF(H7="Official rate",2,IF(H7="Parent proxy",2.5,1)))</f>
        <v>1</v>
      </c>
      <c r="L7" s="11">
        <v>4</v>
      </c>
      <c r="M7" s="11">
        <v>5</v>
      </c>
      <c r="N7" s="11">
        <v>5</v>
      </c>
      <c r="O7" s="11">
        <v>5</v>
      </c>
      <c r="P7" s="11">
        <f>IF(D7="FAIL",0,ROUND(20*(0.25*J7+0.1*K7+0.2*L7+0.2*M7+0.15*N7+0.1*O7),1))</f>
        <v>75.5</v>
      </c>
      <c r="Q7" s="3">
        <f>IF(P7=0,"",RANK(P7,$P$2:$P$28,0))</f>
        <v>6</v>
      </c>
      <c r="R7" s="3" t="s">
        <v>595</v>
      </c>
      <c r="S7" s="3" t="s">
        <v>596</v>
      </c>
      <c r="T7" s="3" t="s">
        <v>597</v>
      </c>
    </row>
    <row r="8" spans="1:20" ht="27.6">
      <c r="A8" s="3" t="s">
        <v>54</v>
      </c>
      <c r="B8" s="3" t="s">
        <v>318</v>
      </c>
      <c r="C8" s="3" t="s">
        <v>625</v>
      </c>
      <c r="D8" s="3" t="s">
        <v>588</v>
      </c>
      <c r="E8" s="9"/>
      <c r="F8" s="3">
        <v>38</v>
      </c>
      <c r="G8" s="3">
        <v>122</v>
      </c>
      <c r="H8" s="3" t="s">
        <v>589</v>
      </c>
      <c r="I8" s="9">
        <f>IF(H8="Exact count",(F8+7)/(G8+20),IF(H8="Official rate",(E8+0.3)/2,IF(H8="Parent proxy",(F8+15)/(G8+50),IF(H8="Unknown established",0.25,IF(H8="First edition",0.2,0.15)))))</f>
        <v>0.31690140845070425</v>
      </c>
      <c r="J8" s="11">
        <f>IF(I8&gt;=0.5,5,IF(I8&gt;=0.42,4.5,IF(I8&gt;=0.35,4,IF(I8&gt;=0.28,3.5,IF(I8&gt;=0.2,2.5,1.5)))))</f>
        <v>3.5</v>
      </c>
      <c r="K8" s="11">
        <f>IF(H8="Exact count",IF(G8&gt;=200,5,IF(G8&gt;=100,4.5,IF(G8&gt;=50,4,IF(G8&gt;=20,3,IF(G8&gt;=10,2,1))))),IF(H8="Official rate",2,IF(H8="Parent proxy",2.5,1)))</f>
        <v>4.5</v>
      </c>
      <c r="L8" s="11">
        <v>2.5</v>
      </c>
      <c r="M8" s="11">
        <v>5</v>
      </c>
      <c r="N8" s="11">
        <v>4</v>
      </c>
      <c r="O8" s="11">
        <v>3</v>
      </c>
      <c r="P8" s="11">
        <f>IF(D8="FAIL",0,ROUND(20*(0.25*J8+0.1*K8+0.2*L8+0.2*M8+0.15*N8+0.1*O8),1))</f>
        <v>74.5</v>
      </c>
      <c r="Q8" s="3">
        <f>IF(P8=0,"",RANK(P8,$P$2:$P$28,0))</f>
        <v>7</v>
      </c>
      <c r="R8" s="3" t="s">
        <v>626</v>
      </c>
      <c r="S8" s="3" t="s">
        <v>627</v>
      </c>
      <c r="T8" s="3" t="s">
        <v>628</v>
      </c>
    </row>
    <row r="9" spans="1:20" ht="27.6">
      <c r="A9" s="3" t="s">
        <v>69</v>
      </c>
      <c r="B9" s="3" t="s">
        <v>598</v>
      </c>
      <c r="C9" s="3" t="s">
        <v>599</v>
      </c>
      <c r="D9" s="3" t="s">
        <v>588</v>
      </c>
      <c r="E9" s="9"/>
      <c r="F9" s="3"/>
      <c r="G9" s="3"/>
      <c r="H9" s="3" t="s">
        <v>584</v>
      </c>
      <c r="I9" s="9">
        <f>IF(H9="Exact count",(F9+7)/(G9+20),IF(H9="Official rate",(E9+0.3)/2,IF(H9="Parent proxy",(F9+15)/(G9+50),IF(H9="Unknown established",0.25,IF(H9="First edition",0.2,0.15)))))</f>
        <v>0.25</v>
      </c>
      <c r="J9" s="11">
        <f>IF(I9&gt;=0.5,5,IF(I9&gt;=0.42,4.5,IF(I9&gt;=0.35,4,IF(I9&gt;=0.28,3.5,IF(I9&gt;=0.2,2.5,1.5)))))</f>
        <v>2.5</v>
      </c>
      <c r="K9" s="11">
        <f>IF(H9="Exact count",IF(G9&gt;=200,5,IF(G9&gt;=100,4.5,IF(G9&gt;=50,4,IF(G9&gt;=20,3,IF(G9&gt;=10,2,1))))),IF(H9="Official rate",2,IF(H9="Parent proxy",2.5,1)))</f>
        <v>1</v>
      </c>
      <c r="L9" s="11">
        <v>5</v>
      </c>
      <c r="M9" s="11">
        <v>5</v>
      </c>
      <c r="N9" s="11">
        <v>4</v>
      </c>
      <c r="O9" s="11">
        <v>2</v>
      </c>
      <c r="P9" s="11">
        <f>IF(D9="FAIL",0,ROUND(20*(0.25*J9+0.1*K9+0.2*L9+0.2*M9+0.15*N9+0.1*O9),1))</f>
        <v>70.5</v>
      </c>
      <c r="Q9" s="3">
        <f>IF(P9=0,"",RANK(P9,$P$2:$P$28,0))</f>
        <v>8</v>
      </c>
      <c r="R9" s="3" t="s">
        <v>600</v>
      </c>
      <c r="S9" s="3" t="s">
        <v>74</v>
      </c>
      <c r="T9" s="3" t="s">
        <v>601</v>
      </c>
    </row>
    <row r="10" spans="1:20" ht="27.6">
      <c r="A10" s="3" t="s">
        <v>36</v>
      </c>
      <c r="B10" s="3" t="s">
        <v>318</v>
      </c>
      <c r="C10" s="3" t="s">
        <v>606</v>
      </c>
      <c r="D10" s="3" t="s">
        <v>583</v>
      </c>
      <c r="E10" s="9"/>
      <c r="F10" s="3"/>
      <c r="G10" s="3"/>
      <c r="H10" s="3" t="s">
        <v>607</v>
      </c>
      <c r="I10" s="9">
        <f>IF(H10="Exact count",(F10+7)/(G10+20),IF(H10="Official rate",(E10+0.3)/2,IF(H10="Parent proxy",(F10+15)/(G10+50),IF(H10="Unknown established",0.25,IF(H10="First edition",0.2,0.15)))))</f>
        <v>0.2</v>
      </c>
      <c r="J10" s="11">
        <f>IF(I10&gt;=0.5,5,IF(I10&gt;=0.42,4.5,IF(I10&gt;=0.35,4,IF(I10&gt;=0.28,3.5,IF(I10&gt;=0.2,2.5,1.5)))))</f>
        <v>2.5</v>
      </c>
      <c r="K10" s="11">
        <f>IF(H10="Exact count",IF(G10&gt;=200,5,IF(G10&gt;=100,4.5,IF(G10&gt;=50,4,IF(G10&gt;=20,3,IF(G10&gt;=10,2,1))))),IF(H10="Official rate",2,IF(H10="Parent proxy",2.5,1)))</f>
        <v>1</v>
      </c>
      <c r="L10" s="11">
        <v>5</v>
      </c>
      <c r="M10" s="11">
        <v>2.5</v>
      </c>
      <c r="N10" s="11">
        <v>5</v>
      </c>
      <c r="O10" s="11">
        <v>5</v>
      </c>
      <c r="P10" s="11">
        <f>IF(D10="FAIL",0,ROUND(20*(0.25*J10+0.1*K10+0.2*L10+0.2*M10+0.15*N10+0.1*O10),1))</f>
        <v>69.5</v>
      </c>
      <c r="Q10" s="3">
        <f>IF(P10=0,"",RANK(P10,$P$2:$P$28,0))</f>
        <v>9</v>
      </c>
      <c r="R10" s="3" t="s">
        <v>608</v>
      </c>
      <c r="S10" s="3" t="s">
        <v>43</v>
      </c>
      <c r="T10" s="3" t="s">
        <v>609</v>
      </c>
    </row>
    <row r="11" spans="1:20" ht="27.6">
      <c r="A11" s="3" t="s">
        <v>102</v>
      </c>
      <c r="B11" s="3" t="s">
        <v>318</v>
      </c>
      <c r="C11" s="3" t="s">
        <v>617</v>
      </c>
      <c r="D11" s="3" t="s">
        <v>583</v>
      </c>
      <c r="E11" s="9"/>
      <c r="F11" s="3"/>
      <c r="G11" s="3"/>
      <c r="H11" s="3" t="s">
        <v>584</v>
      </c>
      <c r="I11" s="9">
        <f>IF(H11="Exact count",(F11+7)/(G11+20),IF(H11="Official rate",(E11+0.3)/2,IF(H11="Parent proxy",(F11+15)/(G11+50),IF(H11="Unknown established",0.25,IF(H11="First edition",0.2,0.15)))))</f>
        <v>0.25</v>
      </c>
      <c r="J11" s="11">
        <f>IF(I11&gt;=0.5,5,IF(I11&gt;=0.42,4.5,IF(I11&gt;=0.35,4,IF(I11&gt;=0.28,3.5,IF(I11&gt;=0.2,2.5,1.5)))))</f>
        <v>2.5</v>
      </c>
      <c r="K11" s="11">
        <f>IF(H11="Exact count",IF(G11&gt;=200,5,IF(G11&gt;=100,4.5,IF(G11&gt;=50,4,IF(G11&gt;=20,3,IF(G11&gt;=10,2,1))))),IF(H11="Official rate",2,IF(H11="Parent proxy",2.5,1)))</f>
        <v>1</v>
      </c>
      <c r="L11" s="11">
        <v>3.5</v>
      </c>
      <c r="M11" s="11">
        <v>3</v>
      </c>
      <c r="N11" s="11">
        <v>5</v>
      </c>
      <c r="O11" s="11">
        <v>5</v>
      </c>
      <c r="P11" s="11">
        <f>IF(D11="FAIL",0,ROUND(20*(0.25*J11+0.1*K11+0.2*L11+0.2*M11+0.15*N11+0.1*O11),1))</f>
        <v>65.5</v>
      </c>
      <c r="Q11" s="3">
        <f>IF(P11=0,"",RANK(P11,$P$2:$P$28,0))</f>
        <v>10</v>
      </c>
      <c r="R11" s="3" t="s">
        <v>618</v>
      </c>
      <c r="S11" s="3" t="s">
        <v>619</v>
      </c>
      <c r="T11" s="3" t="s">
        <v>620</v>
      </c>
    </row>
    <row r="12" spans="1:20" ht="27.6">
      <c r="A12" s="3" t="s">
        <v>479</v>
      </c>
      <c r="B12" s="3" t="s">
        <v>318</v>
      </c>
      <c r="C12" s="3" t="s">
        <v>614</v>
      </c>
      <c r="D12" s="3" t="s">
        <v>588</v>
      </c>
      <c r="E12" s="9"/>
      <c r="F12" s="3"/>
      <c r="G12" s="3"/>
      <c r="H12" s="3" t="s">
        <v>584</v>
      </c>
      <c r="I12" s="9">
        <f>IF(H12="Exact count",(F12+7)/(G12+20),IF(H12="Official rate",(E12+0.3)/2,IF(H12="Parent proxy",(F12+15)/(G12+50),IF(H12="Unknown established",0.25,IF(H12="First edition",0.2,0.15)))))</f>
        <v>0.25</v>
      </c>
      <c r="J12" s="11">
        <f>IF(I12&gt;=0.5,5,IF(I12&gt;=0.42,4.5,IF(I12&gt;=0.35,4,IF(I12&gt;=0.28,3.5,IF(I12&gt;=0.2,2.5,1.5)))))</f>
        <v>2.5</v>
      </c>
      <c r="K12" s="11">
        <f>IF(H12="Exact count",IF(G12&gt;=200,5,IF(G12&gt;=100,4.5,IF(G12&gt;=50,4,IF(G12&gt;=20,3,IF(G12&gt;=10,2,1))))),IF(H12="Official rate",2,IF(H12="Parent proxy",2.5,1)))</f>
        <v>1</v>
      </c>
      <c r="L12" s="11">
        <v>3.5</v>
      </c>
      <c r="M12" s="11">
        <v>5</v>
      </c>
      <c r="N12" s="11">
        <v>4</v>
      </c>
      <c r="O12" s="11">
        <v>2</v>
      </c>
      <c r="P12" s="11">
        <f>IF(D12="FAIL",0,ROUND(20*(0.25*J12+0.1*K12+0.2*L12+0.2*M12+0.15*N12+0.1*O12),1))</f>
        <v>64.5</v>
      </c>
      <c r="Q12" s="3">
        <f>IF(P12=0,"",RANK(P12,$P$2:$P$28,0))</f>
        <v>11</v>
      </c>
      <c r="R12" s="3" t="s">
        <v>615</v>
      </c>
      <c r="S12" s="3" t="s">
        <v>480</v>
      </c>
      <c r="T12" s="3" t="s">
        <v>616</v>
      </c>
    </row>
    <row r="13" spans="1:20" ht="27.6">
      <c r="A13" s="3" t="s">
        <v>490</v>
      </c>
      <c r="B13" s="3" t="s">
        <v>318</v>
      </c>
      <c r="C13" s="3" t="s">
        <v>629</v>
      </c>
      <c r="D13" s="3" t="s">
        <v>588</v>
      </c>
      <c r="E13" s="9"/>
      <c r="F13" s="3"/>
      <c r="G13" s="3"/>
      <c r="H13" s="3" t="s">
        <v>584</v>
      </c>
      <c r="I13" s="9">
        <f>IF(H13="Exact count",(F13+7)/(G13+20),IF(H13="Official rate",(E13+0.3)/2,IF(H13="Parent proxy",(F13+15)/(G13+50),IF(H13="Unknown established",0.25,IF(H13="First edition",0.2,0.15)))))</f>
        <v>0.25</v>
      </c>
      <c r="J13" s="11">
        <f>IF(I13&gt;=0.5,5,IF(I13&gt;=0.42,4.5,IF(I13&gt;=0.35,4,IF(I13&gt;=0.28,3.5,IF(I13&gt;=0.2,2.5,1.5)))))</f>
        <v>2.5</v>
      </c>
      <c r="K13" s="11">
        <f>IF(H13="Exact count",IF(G13&gt;=200,5,IF(G13&gt;=100,4.5,IF(G13&gt;=50,4,IF(G13&gt;=20,3,IF(G13&gt;=10,2,1))))),IF(H13="Official rate",2,IF(H13="Parent proxy",2.5,1)))</f>
        <v>1</v>
      </c>
      <c r="L13" s="11">
        <v>3.5</v>
      </c>
      <c r="M13" s="11">
        <v>4</v>
      </c>
      <c r="N13" s="11">
        <v>3</v>
      </c>
      <c r="O13" s="11">
        <v>4</v>
      </c>
      <c r="P13" s="11">
        <f>IF(D13="FAIL",0,ROUND(20*(0.25*J13+0.1*K13+0.2*L13+0.2*M13+0.15*N13+0.1*O13),1))</f>
        <v>61.5</v>
      </c>
      <c r="Q13" s="3">
        <f>IF(P13=0,"",RANK(P13,$P$2:$P$28,0))</f>
        <v>12</v>
      </c>
      <c r="R13" s="3" t="s">
        <v>630</v>
      </c>
      <c r="S13" s="3" t="s">
        <v>491</v>
      </c>
      <c r="T13" s="3" t="s">
        <v>631</v>
      </c>
    </row>
    <row r="14" spans="1:20" ht="27.6">
      <c r="A14" s="3" t="s">
        <v>493</v>
      </c>
      <c r="B14" s="3" t="s">
        <v>318</v>
      </c>
      <c r="C14" s="3" t="s">
        <v>632</v>
      </c>
      <c r="D14" s="3" t="s">
        <v>588</v>
      </c>
      <c r="E14" s="9"/>
      <c r="F14" s="3"/>
      <c r="G14" s="3"/>
      <c r="H14" s="3" t="s">
        <v>584</v>
      </c>
      <c r="I14" s="9">
        <f>IF(H14="Exact count",(F14+7)/(G14+20),IF(H14="Official rate",(E14+0.3)/2,IF(H14="Parent proxy",(F14+15)/(G14+50),IF(H14="Unknown established",0.25,IF(H14="First edition",0.2,0.15)))))</f>
        <v>0.25</v>
      </c>
      <c r="J14" s="11">
        <f>IF(I14&gt;=0.5,5,IF(I14&gt;=0.42,4.5,IF(I14&gt;=0.35,4,IF(I14&gt;=0.28,3.5,IF(I14&gt;=0.2,2.5,1.5)))))</f>
        <v>2.5</v>
      </c>
      <c r="K14" s="11">
        <f>IF(H14="Exact count",IF(G14&gt;=200,5,IF(G14&gt;=100,4.5,IF(G14&gt;=50,4,IF(G14&gt;=20,3,IF(G14&gt;=10,2,1))))),IF(H14="Official rate",2,IF(H14="Parent proxy",2.5,1)))</f>
        <v>1</v>
      </c>
      <c r="L14" s="11">
        <v>3</v>
      </c>
      <c r="M14" s="11">
        <v>5</v>
      </c>
      <c r="N14" s="11">
        <v>3</v>
      </c>
      <c r="O14" s="11">
        <v>3</v>
      </c>
      <c r="P14" s="11">
        <f>IF(D14="FAIL",0,ROUND(20*(0.25*J14+0.1*K14+0.2*L14+0.2*M14+0.15*N14+0.1*O14),1))</f>
        <v>61.5</v>
      </c>
      <c r="Q14" s="3">
        <f>IF(P14=0,"",RANK(P14,$P$2:$P$28,0))</f>
        <v>12</v>
      </c>
      <c r="R14" s="3" t="s">
        <v>633</v>
      </c>
      <c r="S14" s="3" t="s">
        <v>494</v>
      </c>
      <c r="T14" s="3" t="s">
        <v>616</v>
      </c>
    </row>
    <row r="15" spans="1:20" ht="27.6">
      <c r="A15" s="3" t="s">
        <v>496</v>
      </c>
      <c r="B15" s="3" t="s">
        <v>634</v>
      </c>
      <c r="C15" s="3" t="s">
        <v>635</v>
      </c>
      <c r="D15" s="3" t="s">
        <v>583</v>
      </c>
      <c r="E15" s="9"/>
      <c r="F15" s="3"/>
      <c r="G15" s="3"/>
      <c r="H15" s="3" t="s">
        <v>584</v>
      </c>
      <c r="I15" s="9">
        <f>IF(H15="Exact count",(F15+7)/(G15+20),IF(H15="Official rate",(E15+0.3)/2,IF(H15="Parent proxy",(F15+15)/(G15+50),IF(H15="Unknown established",0.25,IF(H15="First edition",0.2,0.15)))))</f>
        <v>0.25</v>
      </c>
      <c r="J15" s="11">
        <f>IF(I15&gt;=0.5,5,IF(I15&gt;=0.42,4.5,IF(I15&gt;=0.35,4,IF(I15&gt;=0.28,3.5,IF(I15&gt;=0.2,2.5,1.5)))))</f>
        <v>2.5</v>
      </c>
      <c r="K15" s="11">
        <f>IF(H15="Exact count",IF(G15&gt;=200,5,IF(G15&gt;=100,4.5,IF(G15&gt;=50,4,IF(G15&gt;=20,3,IF(G15&gt;=10,2,1))))),IF(H15="Official rate",2,IF(H15="Parent proxy",2.5,1)))</f>
        <v>1</v>
      </c>
      <c r="L15" s="11">
        <v>3</v>
      </c>
      <c r="M15" s="11">
        <v>5</v>
      </c>
      <c r="N15" s="11">
        <v>2.5</v>
      </c>
      <c r="O15" s="11">
        <v>3</v>
      </c>
      <c r="P15" s="11">
        <f>IF(D15="FAIL",0,ROUND(20*(0.25*J15+0.1*K15+0.2*L15+0.2*M15+0.15*N15+0.1*O15),1))</f>
        <v>60</v>
      </c>
      <c r="Q15" s="3">
        <f>IF(P15=0,"",RANK(P15,$P$2:$P$28,0))</f>
        <v>14</v>
      </c>
      <c r="R15" s="3" t="s">
        <v>636</v>
      </c>
      <c r="S15" s="3" t="s">
        <v>499</v>
      </c>
      <c r="T15" s="3" t="s">
        <v>637</v>
      </c>
    </row>
    <row r="16" spans="1:20" ht="27.6">
      <c r="A16" s="3" t="s">
        <v>501</v>
      </c>
      <c r="B16" s="3" t="s">
        <v>634</v>
      </c>
      <c r="C16" s="3" t="s">
        <v>638</v>
      </c>
      <c r="D16" s="3" t="s">
        <v>583</v>
      </c>
      <c r="E16" s="9"/>
      <c r="F16" s="3"/>
      <c r="G16" s="3"/>
      <c r="H16" s="3" t="s">
        <v>584</v>
      </c>
      <c r="I16" s="9">
        <f>IF(H16="Exact count",(F16+7)/(G16+20),IF(H16="Official rate",(E16+0.3)/2,IF(H16="Parent proxy",(F16+15)/(G16+50),IF(H16="Unknown established",0.25,IF(H16="First edition",0.2,0.15)))))</f>
        <v>0.25</v>
      </c>
      <c r="J16" s="11">
        <f>IF(I16&gt;=0.5,5,IF(I16&gt;=0.42,4.5,IF(I16&gt;=0.35,4,IF(I16&gt;=0.28,3.5,IF(I16&gt;=0.2,2.5,1.5)))))</f>
        <v>2.5</v>
      </c>
      <c r="K16" s="11">
        <f>IF(H16="Exact count",IF(G16&gt;=200,5,IF(G16&gt;=100,4.5,IF(G16&gt;=50,4,IF(G16&gt;=20,3,IF(G16&gt;=10,2,1))))),IF(H16="Official rate",2,IF(H16="Parent proxy",2.5,1)))</f>
        <v>1</v>
      </c>
      <c r="L16" s="11">
        <v>2.5</v>
      </c>
      <c r="M16" s="11">
        <v>5</v>
      </c>
      <c r="N16" s="11">
        <v>2.5</v>
      </c>
      <c r="O16" s="11">
        <v>3</v>
      </c>
      <c r="P16" s="11">
        <f>IF(D16="FAIL",0,ROUND(20*(0.25*J16+0.1*K16+0.2*L16+0.2*M16+0.15*N16+0.1*O16),1))</f>
        <v>58</v>
      </c>
      <c r="Q16" s="3">
        <f>IF(P16=0,"",RANK(P16,$P$2:$P$28,0))</f>
        <v>15</v>
      </c>
      <c r="R16" s="3" t="s">
        <v>639</v>
      </c>
      <c r="S16" s="3" t="s">
        <v>502</v>
      </c>
      <c r="T16" s="3" t="s">
        <v>640</v>
      </c>
    </row>
    <row r="17" spans="1:20" ht="27.6">
      <c r="A17" s="3" t="s">
        <v>133</v>
      </c>
      <c r="B17" s="3" t="s">
        <v>318</v>
      </c>
      <c r="C17" s="3" t="s">
        <v>641</v>
      </c>
      <c r="D17" s="3" t="s">
        <v>588</v>
      </c>
      <c r="E17" s="9">
        <v>0.18</v>
      </c>
      <c r="F17" s="3"/>
      <c r="G17" s="3"/>
      <c r="H17" s="3" t="s">
        <v>642</v>
      </c>
      <c r="I17" s="9">
        <f>IF(H17="Exact count",(F17+7)/(G17+20),IF(H17="Official rate",(E17+0.3)/2,IF(H17="Parent proxy",(F17+15)/(G17+50),IF(H17="Unknown established",0.25,IF(H17="First edition",0.2,0.15)))))</f>
        <v>0.24</v>
      </c>
      <c r="J17" s="11">
        <f>IF(I17&gt;=0.5,5,IF(I17&gt;=0.42,4.5,IF(I17&gt;=0.35,4,IF(I17&gt;=0.28,3.5,IF(I17&gt;=0.2,2.5,1.5)))))</f>
        <v>2.5</v>
      </c>
      <c r="K17" s="11">
        <f>IF(H17="Exact count",IF(G17&gt;=200,5,IF(G17&gt;=100,4.5,IF(G17&gt;=50,4,IF(G17&gt;=20,3,IF(G17&gt;=10,2,1))))),IF(H17="Official rate",2,IF(H17="Parent proxy",2.5,1)))</f>
        <v>2</v>
      </c>
      <c r="L17" s="11">
        <v>3</v>
      </c>
      <c r="M17" s="11">
        <v>5</v>
      </c>
      <c r="N17" s="11">
        <v>2</v>
      </c>
      <c r="O17" s="11">
        <v>1</v>
      </c>
      <c r="P17" s="11">
        <f>IF(D17="FAIL",0,ROUND(20*(0.25*J17+0.1*K17+0.2*L17+0.2*M17+0.15*N17+0.1*O17),1))</f>
        <v>56.5</v>
      </c>
      <c r="Q17" s="3">
        <f>IF(P17=0,"",RANK(P17,$P$2:$P$28,0))</f>
        <v>16</v>
      </c>
      <c r="R17" s="3" t="s">
        <v>643</v>
      </c>
      <c r="S17" s="3" t="s">
        <v>137</v>
      </c>
      <c r="T17" s="3" t="s">
        <v>644</v>
      </c>
    </row>
    <row r="18" spans="1:20" ht="27.6">
      <c r="A18" s="3" t="s">
        <v>76</v>
      </c>
      <c r="B18" s="3" t="s">
        <v>318</v>
      </c>
      <c r="C18" s="3" t="s">
        <v>645</v>
      </c>
      <c r="D18" s="3" t="s">
        <v>646</v>
      </c>
      <c r="E18" s="9"/>
      <c r="F18" s="3"/>
      <c r="G18" s="3"/>
      <c r="H18" s="3" t="s">
        <v>584</v>
      </c>
      <c r="I18" s="9">
        <f>IF(H18="Exact count",(F18+7)/(G18+20),IF(H18="Official rate",(E18+0.3)/2,IF(H18="Parent proxy",(F18+15)/(G18+50),IF(H18="Unknown established",0.25,IF(H18="First edition",0.2,0.15)))))</f>
        <v>0.25</v>
      </c>
      <c r="J18" s="11">
        <f>IF(I18&gt;=0.5,5,IF(I18&gt;=0.42,4.5,IF(I18&gt;=0.35,4,IF(I18&gt;=0.28,3.5,IF(I18&gt;=0.2,2.5,1.5)))))</f>
        <v>2.5</v>
      </c>
      <c r="K18" s="11">
        <f>IF(H18="Exact count",IF(G18&gt;=200,5,IF(G18&gt;=100,4.5,IF(G18&gt;=50,4,IF(G18&gt;=20,3,IF(G18&gt;=10,2,1))))),IF(H18="Official rate",2,IF(H18="Parent proxy",2.5,1)))</f>
        <v>1</v>
      </c>
      <c r="L18" s="11">
        <v>4</v>
      </c>
      <c r="M18" s="11">
        <v>5</v>
      </c>
      <c r="N18" s="11">
        <v>4</v>
      </c>
      <c r="O18" s="11">
        <v>3</v>
      </c>
      <c r="P18" s="11">
        <f>IF(D18="FAIL",0,ROUND(20*(0.25*J18+0.1*K18+0.2*L18+0.2*M18+0.15*N18+0.1*O18),1))</f>
        <v>0</v>
      </c>
      <c r="Q18" s="3" t="str">
        <f>IF(P18=0,"",RANK(P18,$P$2:$P$28,0))</f>
        <v/>
      </c>
      <c r="R18" s="3" t="s">
        <v>647</v>
      </c>
      <c r="S18" s="3" t="s">
        <v>80</v>
      </c>
      <c r="T18" s="3" t="s">
        <v>648</v>
      </c>
    </row>
    <row r="19" spans="1:20" ht="27.6">
      <c r="A19" s="3" t="s">
        <v>83</v>
      </c>
      <c r="B19" s="3" t="s">
        <v>318</v>
      </c>
      <c r="C19" s="3" t="s">
        <v>649</v>
      </c>
      <c r="D19" s="3" t="s">
        <v>646</v>
      </c>
      <c r="E19" s="9"/>
      <c r="F19" s="3"/>
      <c r="G19" s="3"/>
      <c r="H19" s="3" t="s">
        <v>584</v>
      </c>
      <c r="I19" s="9">
        <f>IF(H19="Exact count",(F19+7)/(G19+20),IF(H19="Official rate",(E19+0.3)/2,IF(H19="Parent proxy",(F19+15)/(G19+50),IF(H19="Unknown established",0.25,IF(H19="First edition",0.2,0.15)))))</f>
        <v>0.25</v>
      </c>
      <c r="J19" s="11">
        <f>IF(I19&gt;=0.5,5,IF(I19&gt;=0.42,4.5,IF(I19&gt;=0.35,4,IF(I19&gt;=0.28,3.5,IF(I19&gt;=0.2,2.5,1.5)))))</f>
        <v>2.5</v>
      </c>
      <c r="K19" s="11">
        <f>IF(H19="Exact count",IF(G19&gt;=200,5,IF(G19&gt;=100,4.5,IF(G19&gt;=50,4,IF(G19&gt;=20,3,IF(G19&gt;=10,2,1))))),IF(H19="Official rate",2,IF(H19="Parent proxy",2.5,1)))</f>
        <v>1</v>
      </c>
      <c r="L19" s="11">
        <v>4</v>
      </c>
      <c r="M19" s="11">
        <v>4.5</v>
      </c>
      <c r="N19" s="11">
        <v>3</v>
      </c>
      <c r="O19" s="11">
        <v>3</v>
      </c>
      <c r="P19" s="11">
        <f>IF(D19="FAIL",0,ROUND(20*(0.25*J19+0.1*K19+0.2*L19+0.2*M19+0.15*N19+0.1*O19),1))</f>
        <v>0</v>
      </c>
      <c r="Q19" s="3" t="str">
        <f>IF(P19=0,"",RANK(P19,$P$2:$P$28,0))</f>
        <v/>
      </c>
      <c r="R19" s="3" t="s">
        <v>650</v>
      </c>
      <c r="S19" s="3" t="s">
        <v>509</v>
      </c>
      <c r="T19" s="3" t="s">
        <v>651</v>
      </c>
    </row>
    <row r="20" spans="1:20" ht="27.6">
      <c r="A20" s="3" t="s">
        <v>88</v>
      </c>
      <c r="B20" s="3" t="s">
        <v>318</v>
      </c>
      <c r="C20" s="3" t="s">
        <v>652</v>
      </c>
      <c r="D20" s="3" t="s">
        <v>646</v>
      </c>
      <c r="E20" s="9"/>
      <c r="F20" s="3">
        <v>39</v>
      </c>
      <c r="G20" s="3">
        <v>74</v>
      </c>
      <c r="H20" s="3" t="s">
        <v>653</v>
      </c>
      <c r="I20" s="9">
        <f>IF(H20="Exact count",(F20+7)/(G20+20),IF(H20="Official rate",(E20+0.3)/2,IF(H20="Parent proxy",(F20+15)/(G20+50),IF(H20="Unknown established",0.25,IF(H20="First edition",0.2,0.15)))))</f>
        <v>0.43548387096774194</v>
      </c>
      <c r="J20" s="11">
        <f>IF(I20&gt;=0.5,5,IF(I20&gt;=0.42,4.5,IF(I20&gt;=0.35,4,IF(I20&gt;=0.28,3.5,IF(I20&gt;=0.2,2.5,1.5)))))</f>
        <v>4.5</v>
      </c>
      <c r="K20" s="11">
        <f>IF(H20="Exact count",IF(G20&gt;=200,5,IF(G20&gt;=100,4.5,IF(G20&gt;=50,4,IF(G20&gt;=20,3,IF(G20&gt;=10,2,1))))),IF(H20="Official rate",2,IF(H20="Parent proxy",2.5,1)))</f>
        <v>2.5</v>
      </c>
      <c r="L20" s="11">
        <v>5</v>
      </c>
      <c r="M20" s="11">
        <v>2.5</v>
      </c>
      <c r="N20" s="11">
        <v>4</v>
      </c>
      <c r="O20" s="11">
        <v>2</v>
      </c>
      <c r="P20" s="11">
        <f>IF(D20="FAIL",0,ROUND(20*(0.25*J20+0.1*K20+0.2*L20+0.2*M20+0.15*N20+0.1*O20),1))</f>
        <v>0</v>
      </c>
      <c r="Q20" s="3" t="str">
        <f>IF(P20=0,"",RANK(P20,$P$2:$P$28,0))</f>
        <v/>
      </c>
      <c r="R20" s="3" t="s">
        <v>654</v>
      </c>
      <c r="S20" s="3" t="s">
        <v>655</v>
      </c>
      <c r="T20" s="3" t="s">
        <v>656</v>
      </c>
    </row>
    <row r="21" spans="1:20" ht="27.6">
      <c r="A21" s="3" t="s">
        <v>96</v>
      </c>
      <c r="B21" s="3" t="s">
        <v>318</v>
      </c>
      <c r="C21" s="3" t="s">
        <v>657</v>
      </c>
      <c r="D21" s="3" t="s">
        <v>646</v>
      </c>
      <c r="E21" s="9"/>
      <c r="F21" s="3"/>
      <c r="G21" s="3"/>
      <c r="H21" s="3" t="s">
        <v>584</v>
      </c>
      <c r="I21" s="9">
        <f>IF(H21="Exact count",(F21+7)/(G21+20),IF(H21="Official rate",(E21+0.3)/2,IF(H21="Parent proxy",(F21+15)/(G21+50),IF(H21="Unknown established",0.25,IF(H21="First edition",0.2,0.15)))))</f>
        <v>0.25</v>
      </c>
      <c r="J21" s="11">
        <f>IF(I21&gt;=0.5,5,IF(I21&gt;=0.42,4.5,IF(I21&gt;=0.35,4,IF(I21&gt;=0.28,3.5,IF(I21&gt;=0.2,2.5,1.5)))))</f>
        <v>2.5</v>
      </c>
      <c r="K21" s="11">
        <f>IF(H21="Exact count",IF(G21&gt;=200,5,IF(G21&gt;=100,4.5,IF(G21&gt;=50,4,IF(G21&gt;=20,3,IF(G21&gt;=10,2,1))))),IF(H21="Official rate",2,IF(H21="Parent proxy",2.5,1)))</f>
        <v>1</v>
      </c>
      <c r="L21" s="11">
        <v>5</v>
      </c>
      <c r="M21" s="11">
        <v>2.5</v>
      </c>
      <c r="N21" s="11">
        <v>3</v>
      </c>
      <c r="O21" s="11">
        <v>2</v>
      </c>
      <c r="P21" s="11">
        <f>IF(D21="FAIL",0,ROUND(20*(0.25*J21+0.1*K21+0.2*L21+0.2*M21+0.15*N21+0.1*O21),1))</f>
        <v>0</v>
      </c>
      <c r="Q21" s="3" t="str">
        <f>IF(P21=0,"",RANK(P21,$P$2:$P$28,0))</f>
        <v/>
      </c>
      <c r="R21" s="3" t="s">
        <v>658</v>
      </c>
      <c r="S21" s="3" t="s">
        <v>515</v>
      </c>
      <c r="T21" s="3" t="s">
        <v>659</v>
      </c>
    </row>
    <row r="22" spans="1:20" ht="27.6">
      <c r="A22" s="3" t="s">
        <v>517</v>
      </c>
      <c r="B22" s="3" t="s">
        <v>318</v>
      </c>
      <c r="C22" s="3" t="s">
        <v>660</v>
      </c>
      <c r="D22" s="3" t="s">
        <v>646</v>
      </c>
      <c r="E22" s="9"/>
      <c r="F22" s="3"/>
      <c r="G22" s="3"/>
      <c r="H22" s="3" t="s">
        <v>584</v>
      </c>
      <c r="I22" s="9">
        <f>IF(H22="Exact count",(F22+7)/(G22+20),IF(H22="Official rate",(E22+0.3)/2,IF(H22="Parent proxy",(F22+15)/(G22+50),IF(H22="Unknown established",0.25,IF(H22="First edition",0.2,0.15)))))</f>
        <v>0.25</v>
      </c>
      <c r="J22" s="11">
        <f>IF(I22&gt;=0.5,5,IF(I22&gt;=0.42,4.5,IF(I22&gt;=0.35,4,IF(I22&gt;=0.28,3.5,IF(I22&gt;=0.2,2.5,1.5)))))</f>
        <v>2.5</v>
      </c>
      <c r="K22" s="11">
        <f>IF(H22="Exact count",IF(G22&gt;=200,5,IF(G22&gt;=100,4.5,IF(G22&gt;=50,4,IF(G22&gt;=20,3,IF(G22&gt;=10,2,1))))),IF(H22="Official rate",2,IF(H22="Parent proxy",2.5,1)))</f>
        <v>1</v>
      </c>
      <c r="L22" s="11">
        <v>2.5</v>
      </c>
      <c r="M22" s="11">
        <v>3</v>
      </c>
      <c r="N22" s="11">
        <v>4</v>
      </c>
      <c r="O22" s="11">
        <v>2</v>
      </c>
      <c r="P22" s="11">
        <f>IF(D22="FAIL",0,ROUND(20*(0.25*J22+0.1*K22+0.2*L22+0.2*M22+0.15*N22+0.1*O22),1))</f>
        <v>0</v>
      </c>
      <c r="Q22" s="3" t="str">
        <f>IF(P22=0,"",RANK(P22,$P$2:$P$28,0))</f>
        <v/>
      </c>
      <c r="R22" s="3" t="s">
        <v>661</v>
      </c>
      <c r="S22" s="3" t="s">
        <v>115</v>
      </c>
      <c r="T22" s="3" t="s">
        <v>662</v>
      </c>
    </row>
    <row r="23" spans="1:20" ht="27.6">
      <c r="A23" s="3" t="s">
        <v>118</v>
      </c>
      <c r="B23" s="3" t="s">
        <v>318</v>
      </c>
      <c r="C23" s="3" t="s">
        <v>663</v>
      </c>
      <c r="D23" s="3" t="s">
        <v>646</v>
      </c>
      <c r="E23" s="9"/>
      <c r="F23" s="3"/>
      <c r="G23" s="3"/>
      <c r="H23" s="3" t="s">
        <v>607</v>
      </c>
      <c r="I23" s="9">
        <f>IF(H23="Exact count",(F23+7)/(G23+20),IF(H23="Official rate",(E23+0.3)/2,IF(H23="Parent proxy",(F23+15)/(G23+50),IF(H23="Unknown established",0.25,IF(H23="First edition",0.2,0.15)))))</f>
        <v>0.2</v>
      </c>
      <c r="J23" s="11">
        <f>IF(I23&gt;=0.5,5,IF(I23&gt;=0.42,4.5,IF(I23&gt;=0.35,4,IF(I23&gt;=0.28,3.5,IF(I23&gt;=0.2,2.5,1.5)))))</f>
        <v>2.5</v>
      </c>
      <c r="K23" s="11">
        <f>IF(H23="Exact count",IF(G23&gt;=200,5,IF(G23&gt;=100,4.5,IF(G23&gt;=50,4,IF(G23&gt;=20,3,IF(G23&gt;=10,2,1))))),IF(H23="Official rate",2,IF(H23="Parent proxy",2.5,1)))</f>
        <v>1</v>
      </c>
      <c r="L23" s="11">
        <v>5</v>
      </c>
      <c r="M23" s="11">
        <v>1</v>
      </c>
      <c r="N23" s="11">
        <v>1</v>
      </c>
      <c r="O23" s="11">
        <v>2</v>
      </c>
      <c r="P23" s="11">
        <f>IF(D23="FAIL",0,ROUND(20*(0.25*J23+0.1*K23+0.2*L23+0.2*M23+0.15*N23+0.1*O23),1))</f>
        <v>0</v>
      </c>
      <c r="Q23" s="3" t="str">
        <f>IF(P23=0,"",RANK(P23,$P$2:$P$28,0))</f>
        <v/>
      </c>
      <c r="R23" s="3" t="s">
        <v>664</v>
      </c>
      <c r="S23" s="3" t="s">
        <v>124</v>
      </c>
      <c r="T23" s="3" t="s">
        <v>665</v>
      </c>
    </row>
    <row r="24" spans="1:20" ht="27.6">
      <c r="A24" s="3" t="s">
        <v>126</v>
      </c>
      <c r="B24" s="3" t="s">
        <v>318</v>
      </c>
      <c r="C24" s="3" t="s">
        <v>666</v>
      </c>
      <c r="D24" s="3" t="s">
        <v>646</v>
      </c>
      <c r="E24" s="9"/>
      <c r="F24" s="3"/>
      <c r="G24" s="3"/>
      <c r="H24" s="3" t="s">
        <v>584</v>
      </c>
      <c r="I24" s="9">
        <f>IF(H24="Exact count",(F24+7)/(G24+20),IF(H24="Official rate",(E24+0.3)/2,IF(H24="Parent proxy",(F24+15)/(G24+50),IF(H24="Unknown established",0.25,IF(H24="First edition",0.2,0.15)))))</f>
        <v>0.25</v>
      </c>
      <c r="J24" s="11">
        <f>IF(I24&gt;=0.5,5,IF(I24&gt;=0.42,4.5,IF(I24&gt;=0.35,4,IF(I24&gt;=0.28,3.5,IF(I24&gt;=0.2,2.5,1.5)))))</f>
        <v>2.5</v>
      </c>
      <c r="K24" s="11">
        <f>IF(H24="Exact count",IF(G24&gt;=200,5,IF(G24&gt;=100,4.5,IF(G24&gt;=50,4,IF(G24&gt;=20,3,IF(G24&gt;=10,2,1))))),IF(H24="Official rate",2,IF(H24="Parent proxy",2.5,1)))</f>
        <v>1</v>
      </c>
      <c r="L24" s="11">
        <v>2.5</v>
      </c>
      <c r="M24" s="11">
        <v>2</v>
      </c>
      <c r="N24" s="11">
        <v>1</v>
      </c>
      <c r="O24" s="11">
        <v>1</v>
      </c>
      <c r="P24" s="11">
        <f>IF(D24="FAIL",0,ROUND(20*(0.25*J24+0.1*K24+0.2*L24+0.2*M24+0.15*N24+0.1*O24),1))</f>
        <v>0</v>
      </c>
      <c r="Q24" s="3" t="str">
        <f>IF(P24=0,"",RANK(P24,$P$2:$P$28,0))</f>
        <v/>
      </c>
      <c r="R24" s="3" t="s">
        <v>667</v>
      </c>
      <c r="S24" s="3" t="s">
        <v>131</v>
      </c>
      <c r="T24" s="3"/>
    </row>
    <row r="25" spans="1:20" ht="27.6">
      <c r="A25" s="3" t="s">
        <v>140</v>
      </c>
      <c r="B25" s="3" t="s">
        <v>318</v>
      </c>
      <c r="C25" s="3" t="s">
        <v>668</v>
      </c>
      <c r="D25" s="3" t="s">
        <v>646</v>
      </c>
      <c r="E25" s="9"/>
      <c r="F25" s="3"/>
      <c r="G25" s="3"/>
      <c r="H25" s="3" t="s">
        <v>584</v>
      </c>
      <c r="I25" s="9">
        <f>IF(H25="Exact count",(F25+7)/(G25+20),IF(H25="Official rate",(E25+0.3)/2,IF(H25="Parent proxy",(F25+15)/(G25+50),IF(H25="Unknown established",0.25,IF(H25="First edition",0.2,0.15)))))</f>
        <v>0.25</v>
      </c>
      <c r="J25" s="11">
        <f>IF(I25&gt;=0.5,5,IF(I25&gt;=0.42,4.5,IF(I25&gt;=0.35,4,IF(I25&gt;=0.28,3.5,IF(I25&gt;=0.2,2.5,1.5)))))</f>
        <v>2.5</v>
      </c>
      <c r="K25" s="11">
        <f>IF(H25="Exact count",IF(G25&gt;=200,5,IF(G25&gt;=100,4.5,IF(G25&gt;=50,4,IF(G25&gt;=20,3,IF(G25&gt;=10,2,1))))),IF(H25="Official rate",2,IF(H25="Parent proxy",2.5,1)))</f>
        <v>1</v>
      </c>
      <c r="L25" s="11">
        <v>1.5</v>
      </c>
      <c r="M25" s="11">
        <v>5</v>
      </c>
      <c r="N25" s="11">
        <v>2</v>
      </c>
      <c r="O25" s="11">
        <v>1</v>
      </c>
      <c r="P25" s="11">
        <f>IF(D25="FAIL",0,ROUND(20*(0.25*J25+0.1*K25+0.2*L25+0.2*M25+0.15*N25+0.1*O25),1))</f>
        <v>0</v>
      </c>
      <c r="Q25" s="3" t="str">
        <f>IF(P25=0,"",RANK(P25,$P$2:$P$28,0))</f>
        <v/>
      </c>
      <c r="R25" s="3" t="s">
        <v>669</v>
      </c>
      <c r="S25" s="3" t="s">
        <v>144</v>
      </c>
      <c r="T25" s="3"/>
    </row>
    <row r="26" spans="1:20" ht="27.6">
      <c r="A26" s="3" t="s">
        <v>146</v>
      </c>
      <c r="B26" s="3" t="s">
        <v>670</v>
      </c>
      <c r="C26" s="3" t="s">
        <v>671</v>
      </c>
      <c r="D26" s="3" t="s">
        <v>646</v>
      </c>
      <c r="E26" s="9"/>
      <c r="F26" s="3"/>
      <c r="G26" s="3"/>
      <c r="H26" s="3" t="s">
        <v>672</v>
      </c>
      <c r="I26" s="9">
        <f>IF(H26="Exact count",(F26+7)/(G26+20),IF(H26="Official rate",(E26+0.3)/2,IF(H26="Parent proxy",(F26+15)/(G26+50),IF(H26="Unknown established",0.25,IF(H26="First edition",0.2,0.15)))))</f>
        <v>0.15</v>
      </c>
      <c r="J26" s="11">
        <f>IF(I26&gt;=0.5,5,IF(I26&gt;=0.42,4.5,IF(I26&gt;=0.35,4,IF(I26&gt;=0.28,3.5,IF(I26&gt;=0.2,2.5,1.5)))))</f>
        <v>1.5</v>
      </c>
      <c r="K26" s="11">
        <f>IF(H26="Exact count",IF(G26&gt;=200,5,IF(G26&gt;=100,4.5,IF(G26&gt;=50,4,IF(G26&gt;=20,3,IF(G26&gt;=10,2,1))))),IF(H26="Official rate",2,IF(H26="Parent proxy",2.5,1)))</f>
        <v>1</v>
      </c>
      <c r="L26" s="11">
        <v>4</v>
      </c>
      <c r="M26" s="11">
        <v>4</v>
      </c>
      <c r="N26" s="11">
        <v>1</v>
      </c>
      <c r="O26" s="11">
        <v>1</v>
      </c>
      <c r="P26" s="11">
        <f>IF(D26="FAIL",0,ROUND(20*(0.25*J26+0.1*K26+0.2*L26+0.2*M26+0.15*N26+0.1*O26),1))</f>
        <v>0</v>
      </c>
      <c r="Q26" s="3" t="str">
        <f>IF(P26=0,"",RANK(P26,$P$2:$P$28,0))</f>
        <v/>
      </c>
      <c r="R26" s="3" t="s">
        <v>673</v>
      </c>
      <c r="S26" s="3" t="s">
        <v>153</v>
      </c>
      <c r="T26" s="3"/>
    </row>
    <row r="27" spans="1:20">
      <c r="A27" s="3" t="s">
        <v>156</v>
      </c>
      <c r="B27" s="3" t="s">
        <v>318</v>
      </c>
      <c r="C27" s="3" t="s">
        <v>674</v>
      </c>
      <c r="D27" s="3" t="s">
        <v>646</v>
      </c>
      <c r="E27" s="9"/>
      <c r="F27" s="3"/>
      <c r="G27" s="3"/>
      <c r="H27" s="3" t="s">
        <v>607</v>
      </c>
      <c r="I27" s="9">
        <f>IF(H27="Exact count",(F27+7)/(G27+20),IF(H27="Official rate",(E27+0.3)/2,IF(H27="Parent proxy",(F27+15)/(G27+50),IF(H27="Unknown established",0.25,IF(H27="First edition",0.2,0.15)))))</f>
        <v>0.2</v>
      </c>
      <c r="J27" s="11">
        <f>IF(I27&gt;=0.5,5,IF(I27&gt;=0.42,4.5,IF(I27&gt;=0.35,4,IF(I27&gt;=0.28,3.5,IF(I27&gt;=0.2,2.5,1.5)))))</f>
        <v>2.5</v>
      </c>
      <c r="K27" s="11">
        <f>IF(H27="Exact count",IF(G27&gt;=200,5,IF(G27&gt;=100,4.5,IF(G27&gt;=50,4,IF(G27&gt;=20,3,IF(G27&gt;=10,2,1))))),IF(H27="Official rate",2,IF(H27="Parent proxy",2.5,1)))</f>
        <v>1</v>
      </c>
      <c r="L27" s="11">
        <v>1</v>
      </c>
      <c r="M27" s="11">
        <v>1</v>
      </c>
      <c r="N27" s="11">
        <v>3</v>
      </c>
      <c r="O27" s="11">
        <v>1</v>
      </c>
      <c r="P27" s="11">
        <f>IF(D27="FAIL",0,ROUND(20*(0.25*J27+0.1*K27+0.2*L27+0.2*M27+0.15*N27+0.1*O27),1))</f>
        <v>0</v>
      </c>
      <c r="Q27" s="3" t="str">
        <f>IF(P27=0,"",RANK(P27,$P$2:$P$28,0))</f>
        <v/>
      </c>
      <c r="R27" s="3" t="s">
        <v>675</v>
      </c>
      <c r="S27" s="3" t="s">
        <v>161</v>
      </c>
      <c r="T27" s="3"/>
    </row>
    <row r="28" spans="1:20" ht="27.6">
      <c r="A28" s="3" t="s">
        <v>345</v>
      </c>
      <c r="B28" s="3" t="s">
        <v>593</v>
      </c>
      <c r="C28" s="3" t="s">
        <v>676</v>
      </c>
      <c r="D28" s="3" t="s">
        <v>646</v>
      </c>
      <c r="E28" s="9"/>
      <c r="F28" s="3"/>
      <c r="G28" s="3"/>
      <c r="H28" s="3" t="s">
        <v>607</v>
      </c>
      <c r="I28" s="9">
        <f>IF(H28="Exact count",(F28+7)/(G28+20),IF(H28="Official rate",(E28+0.3)/2,IF(H28="Parent proxy",(F28+15)/(G28+50),IF(H28="Unknown established",0.25,IF(H28="First edition",0.2,0.15)))))</f>
        <v>0.2</v>
      </c>
      <c r="J28" s="11">
        <f>IF(I28&gt;=0.5,5,IF(I28&gt;=0.42,4.5,IF(I28&gt;=0.35,4,IF(I28&gt;=0.28,3.5,IF(I28&gt;=0.2,2.5,1.5)))))</f>
        <v>2.5</v>
      </c>
      <c r="K28" s="11">
        <f>IF(H28="Exact count",IF(G28&gt;=200,5,IF(G28&gt;=100,4.5,IF(G28&gt;=50,4,IF(G28&gt;=20,3,IF(G28&gt;=10,2,1))))),IF(H28="Official rate",2,IF(H28="Parent proxy",2.5,1)))</f>
        <v>1</v>
      </c>
      <c r="L28" s="11">
        <v>5</v>
      </c>
      <c r="M28" s="11">
        <v>4</v>
      </c>
      <c r="N28" s="11">
        <v>5</v>
      </c>
      <c r="O28" s="11">
        <v>4</v>
      </c>
      <c r="P28" s="11">
        <f>IF(D28="FAIL",0,ROUND(20*(0.25*J28+0.1*K28+0.2*L28+0.2*M28+0.15*N28+0.1*O28),1))</f>
        <v>0</v>
      </c>
      <c r="Q28" s="3" t="str">
        <f>IF(P28=0,"",RANK(P28,$P$2:$P$28,0))</f>
        <v/>
      </c>
      <c r="R28" s="3" t="s">
        <v>677</v>
      </c>
      <c r="S28" s="3" t="s">
        <v>354</v>
      </c>
      <c r="T28" s="3" t="s">
        <v>678</v>
      </c>
    </row>
    <row r="31" spans="1:20">
      <c r="A31" s="10" t="s">
        <v>679</v>
      </c>
      <c r="B31" s="10"/>
    </row>
    <row r="32" spans="1:20" ht="27.6">
      <c r="A32" s="3" t="s">
        <v>680</v>
      </c>
      <c r="B32" s="3" t="s">
        <v>681</v>
      </c>
    </row>
    <row r="33" spans="1:2">
      <c r="A33" s="3" t="s">
        <v>653</v>
      </c>
      <c r="B33" s="3" t="s">
        <v>682</v>
      </c>
    </row>
    <row r="34" spans="1:2" ht="27.6">
      <c r="A34" s="3" t="s">
        <v>683</v>
      </c>
      <c r="B34" s="3" t="s">
        <v>684</v>
      </c>
    </row>
    <row r="35" spans="1:2" ht="27.6">
      <c r="A35" s="3" t="s">
        <v>685</v>
      </c>
      <c r="B35" s="3" t="s">
        <v>686</v>
      </c>
    </row>
    <row r="36" spans="1:2">
      <c r="A36" s="3" t="s">
        <v>687</v>
      </c>
      <c r="B36" s="3" t="s">
        <v>688</v>
      </c>
    </row>
    <row r="37" spans="1:2">
      <c r="A37" s="3" t="s">
        <v>568</v>
      </c>
      <c r="B37" s="3" t="s">
        <v>689</v>
      </c>
    </row>
  </sheetData>
  <conditionalFormatting sqref="D2:D28">
    <cfRule type="expression" dxfId="12" priority="3">
      <formula>D2="FAIL"</formula>
    </cfRule>
    <cfRule type="expression" dxfId="11" priority="4">
      <formula>D2="PASS"</formula>
    </cfRule>
    <cfRule type="expression" dxfId="10" priority="5">
      <formula>D2="PASS-CONDITIONAL"</formula>
    </cfRule>
  </conditionalFormatting>
  <conditionalFormatting sqref="I2:P28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P2:P28">
    <cfRule type="dataBar" priority="2">
      <dataBar>
        <cfvo type="min"/>
        <cfvo type="max"/>
        <color rgb="FF2563EB"/>
      </dataBar>
    </cfRule>
    <cfRule type="dataBar" priority="6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{940207C8-2C33-03E3-7149-FF393CD677A8}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0207C8-2C33-03E3-7149-FF393CD677A8}">
            <x14:dataBar>
              <x14:cfvo type="min"/>
              <x14:cfvo type="max"/>
              <x14:negativeFillColor auto="1"/>
              <x14:axisColor auto="1"/>
            </x14:dataBar>
          </x14:cfRule>
          <xm:sqref>P2:P28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36"/>
  <sheetViews>
    <sheetView workbookViewId="0"/>
  </sheetViews>
  <sheetFormatPr defaultRowHeight="13.8"/>
  <cols>
    <col min="1" max="1" width="30" customWidth="1"/>
    <col min="2" max="2" width="110" customWidth="1"/>
    <col min="3" max="3" width="38" customWidth="1"/>
    <col min="4" max="4" width="18" customWidth="1"/>
    <col min="5" max="6" width="12" customWidth="1"/>
    <col min="7" max="7" width="22" customWidth="1"/>
    <col min="8" max="11" width="16" customWidth="1"/>
    <col min="12" max="12" width="23" customWidth="1"/>
    <col min="13" max="13" width="65" customWidth="1"/>
    <col min="14" max="17" width="16" customWidth="1"/>
    <col min="18" max="19" width="17" customWidth="1"/>
    <col min="20" max="20" width="72" customWidth="1"/>
    <col min="21" max="21" width="70" customWidth="1"/>
  </cols>
  <sheetData>
    <row r="1" spans="1:21" ht="41.4">
      <c r="A1" s="12" t="s">
        <v>0</v>
      </c>
      <c r="B1" s="12" t="s">
        <v>568</v>
      </c>
      <c r="C1" s="12" t="s">
        <v>567</v>
      </c>
      <c r="D1" s="12" t="s">
        <v>569</v>
      </c>
      <c r="E1" s="12" t="s">
        <v>570</v>
      </c>
      <c r="F1" s="12" t="s">
        <v>449</v>
      </c>
      <c r="G1" s="12" t="s">
        <v>572</v>
      </c>
      <c r="H1" s="12" t="s">
        <v>690</v>
      </c>
      <c r="I1" s="12" t="s">
        <v>691</v>
      </c>
      <c r="J1" s="12" t="s">
        <v>692</v>
      </c>
      <c r="K1" s="12" t="s">
        <v>693</v>
      </c>
      <c r="L1" s="12" t="s">
        <v>694</v>
      </c>
      <c r="M1" s="12" t="s">
        <v>695</v>
      </c>
      <c r="N1" s="12" t="s">
        <v>696</v>
      </c>
      <c r="O1" s="12" t="s">
        <v>697</v>
      </c>
      <c r="P1" s="12" t="s">
        <v>698</v>
      </c>
      <c r="Q1" s="12" t="s">
        <v>699</v>
      </c>
      <c r="R1" s="12" t="s">
        <v>700</v>
      </c>
      <c r="S1" s="12" t="s">
        <v>579</v>
      </c>
      <c r="T1" s="12" t="s">
        <v>701</v>
      </c>
      <c r="U1" s="12" t="s">
        <v>702</v>
      </c>
    </row>
    <row r="2" spans="1:21" ht="27.6">
      <c r="A2" s="3" t="s">
        <v>18</v>
      </c>
      <c r="B2" s="3" t="s">
        <v>583</v>
      </c>
      <c r="C2" s="3" t="s">
        <v>582</v>
      </c>
      <c r="D2" s="9"/>
      <c r="E2" s="3"/>
      <c r="F2" s="3"/>
      <c r="G2" s="9">
        <v>0.25</v>
      </c>
      <c r="H2" s="11">
        <v>2.5</v>
      </c>
      <c r="I2" s="11">
        <v>1</v>
      </c>
      <c r="J2" s="11">
        <v>5</v>
      </c>
      <c r="K2" s="11">
        <v>2</v>
      </c>
      <c r="L2" s="11" t="s">
        <v>703</v>
      </c>
      <c r="M2" s="11" t="s">
        <v>704</v>
      </c>
      <c r="N2" s="11">
        <v>2.5</v>
      </c>
      <c r="O2" s="11">
        <v>4.5</v>
      </c>
      <c r="P2" s="11">
        <v>5</v>
      </c>
      <c r="Q2" s="11">
        <v>5</v>
      </c>
      <c r="R2" s="11">
        <f t="shared" ref="R2:R28" si="0">IF(B2="FAIL",0,ROUND(20*(0.2*H2+0.1*I2+0.15*J2+0.15*K2+0.1*N2+0.15*O2+0.1*P2+0.05*Q2),1))</f>
        <v>66.5</v>
      </c>
      <c r="S2" s="3">
        <f t="shared" ref="S2:S28" si="1">IF(R2=0,"",RANK(R2,$R$2:$R$28,0))</f>
        <v>9</v>
      </c>
      <c r="T2" s="3" t="s">
        <v>585</v>
      </c>
      <c r="U2" s="3" t="s">
        <v>25</v>
      </c>
    </row>
    <row r="3" spans="1:21" ht="27.6">
      <c r="A3" s="3" t="s">
        <v>459</v>
      </c>
      <c r="B3" s="3" t="s">
        <v>588</v>
      </c>
      <c r="C3" s="3" t="s">
        <v>587</v>
      </c>
      <c r="D3" s="9"/>
      <c r="E3" s="3">
        <v>90</v>
      </c>
      <c r="F3" s="3">
        <v>273</v>
      </c>
      <c r="G3" s="9">
        <v>0.33105802047781568</v>
      </c>
      <c r="H3" s="11">
        <v>3.5</v>
      </c>
      <c r="I3" s="11">
        <v>5</v>
      </c>
      <c r="J3" s="11">
        <v>4</v>
      </c>
      <c r="K3" s="11">
        <v>3.5</v>
      </c>
      <c r="L3" s="11" t="s">
        <v>705</v>
      </c>
      <c r="M3" s="11" t="s">
        <v>706</v>
      </c>
      <c r="N3" s="11">
        <v>3.5</v>
      </c>
      <c r="O3" s="11">
        <v>5</v>
      </c>
      <c r="P3" s="11">
        <v>5</v>
      </c>
      <c r="Q3" s="11">
        <v>5</v>
      </c>
      <c r="R3" s="11">
        <f t="shared" si="0"/>
        <v>83.5</v>
      </c>
      <c r="S3" s="3">
        <f t="shared" si="1"/>
        <v>1</v>
      </c>
      <c r="T3" s="3" t="s">
        <v>707</v>
      </c>
      <c r="U3" s="3" t="s">
        <v>591</v>
      </c>
    </row>
    <row r="4" spans="1:21" ht="27.6">
      <c r="A4" s="3" t="s">
        <v>45</v>
      </c>
      <c r="B4" s="3" t="s">
        <v>588</v>
      </c>
      <c r="C4" s="3" t="s">
        <v>594</v>
      </c>
      <c r="D4" s="9"/>
      <c r="E4" s="3"/>
      <c r="F4" s="3"/>
      <c r="G4" s="9">
        <v>0.25</v>
      </c>
      <c r="H4" s="11">
        <v>2.5</v>
      </c>
      <c r="I4" s="11">
        <v>1</v>
      </c>
      <c r="J4" s="11">
        <v>4</v>
      </c>
      <c r="K4" s="11">
        <v>3</v>
      </c>
      <c r="L4" s="11" t="s">
        <v>705</v>
      </c>
      <c r="M4" s="11" t="s">
        <v>708</v>
      </c>
      <c r="N4" s="11">
        <v>3.5</v>
      </c>
      <c r="O4" s="11">
        <v>5</v>
      </c>
      <c r="P4" s="11">
        <v>5</v>
      </c>
      <c r="Q4" s="11">
        <v>5</v>
      </c>
      <c r="R4" s="11">
        <f t="shared" si="0"/>
        <v>70</v>
      </c>
      <c r="S4" s="3">
        <f t="shared" si="1"/>
        <v>7</v>
      </c>
      <c r="T4" s="3" t="s">
        <v>595</v>
      </c>
      <c r="U4" s="3" t="s">
        <v>596</v>
      </c>
    </row>
    <row r="5" spans="1:21" ht="27.6">
      <c r="A5" s="3" t="s">
        <v>69</v>
      </c>
      <c r="B5" s="3" t="s">
        <v>588</v>
      </c>
      <c r="C5" s="3" t="s">
        <v>599</v>
      </c>
      <c r="D5" s="9"/>
      <c r="E5" s="3"/>
      <c r="F5" s="3"/>
      <c r="G5" s="9">
        <v>0.25</v>
      </c>
      <c r="H5" s="11">
        <v>2.5</v>
      </c>
      <c r="I5" s="11">
        <v>1</v>
      </c>
      <c r="J5" s="11">
        <v>5</v>
      </c>
      <c r="K5" s="11">
        <v>5</v>
      </c>
      <c r="L5" s="11" t="s">
        <v>709</v>
      </c>
      <c r="M5" s="11" t="s">
        <v>710</v>
      </c>
      <c r="N5" s="11">
        <v>5</v>
      </c>
      <c r="O5" s="11">
        <v>5</v>
      </c>
      <c r="P5" s="11">
        <v>4</v>
      </c>
      <c r="Q5" s="11">
        <v>2</v>
      </c>
      <c r="R5" s="11">
        <f t="shared" si="0"/>
        <v>77</v>
      </c>
      <c r="S5" s="3">
        <f t="shared" si="1"/>
        <v>2</v>
      </c>
      <c r="T5" s="3" t="s">
        <v>711</v>
      </c>
      <c r="U5" s="3" t="s">
        <v>74</v>
      </c>
    </row>
    <row r="6" spans="1:21" ht="27.6">
      <c r="A6" s="3" t="s">
        <v>28</v>
      </c>
      <c r="B6" s="3" t="s">
        <v>583</v>
      </c>
      <c r="C6" s="3" t="s">
        <v>602</v>
      </c>
      <c r="D6" s="9"/>
      <c r="E6" s="3">
        <v>5</v>
      </c>
      <c r="F6" s="3">
        <v>15</v>
      </c>
      <c r="G6" s="9">
        <v>0.34285714285714286</v>
      </c>
      <c r="H6" s="11">
        <v>3.5</v>
      </c>
      <c r="I6" s="11">
        <v>2</v>
      </c>
      <c r="J6" s="11">
        <v>4</v>
      </c>
      <c r="K6" s="11">
        <v>2</v>
      </c>
      <c r="L6" s="11" t="s">
        <v>703</v>
      </c>
      <c r="M6" s="11" t="s">
        <v>712</v>
      </c>
      <c r="N6" s="11">
        <v>2.5</v>
      </c>
      <c r="O6" s="11">
        <v>3.5</v>
      </c>
      <c r="P6" s="11">
        <v>5</v>
      </c>
      <c r="Q6" s="11">
        <v>5</v>
      </c>
      <c r="R6" s="11">
        <f t="shared" si="0"/>
        <v>66.5</v>
      </c>
      <c r="S6" s="3">
        <f t="shared" si="1"/>
        <v>9</v>
      </c>
      <c r="T6" s="3" t="s">
        <v>713</v>
      </c>
      <c r="U6" s="3" t="s">
        <v>604</v>
      </c>
    </row>
    <row r="7" spans="1:21" ht="27.6">
      <c r="A7" s="3" t="s">
        <v>36</v>
      </c>
      <c r="B7" s="3" t="s">
        <v>583</v>
      </c>
      <c r="C7" s="3" t="s">
        <v>606</v>
      </c>
      <c r="D7" s="9"/>
      <c r="E7" s="3"/>
      <c r="F7" s="3"/>
      <c r="G7" s="9">
        <v>0.2</v>
      </c>
      <c r="H7" s="11">
        <v>2.5</v>
      </c>
      <c r="I7" s="11">
        <v>1</v>
      </c>
      <c r="J7" s="11">
        <v>5</v>
      </c>
      <c r="K7" s="11">
        <v>5</v>
      </c>
      <c r="L7" s="11" t="s">
        <v>709</v>
      </c>
      <c r="M7" s="11" t="s">
        <v>714</v>
      </c>
      <c r="N7" s="11">
        <v>5</v>
      </c>
      <c r="O7" s="11">
        <v>2.5</v>
      </c>
      <c r="P7" s="11">
        <v>5</v>
      </c>
      <c r="Q7" s="11">
        <v>5</v>
      </c>
      <c r="R7" s="11">
        <f t="shared" si="0"/>
        <v>74.5</v>
      </c>
      <c r="S7" s="3">
        <f t="shared" si="1"/>
        <v>4</v>
      </c>
      <c r="T7" s="3" t="s">
        <v>715</v>
      </c>
      <c r="U7" s="3" t="s">
        <v>43</v>
      </c>
    </row>
    <row r="8" spans="1:21" ht="27.6">
      <c r="A8" s="3" t="s">
        <v>475</v>
      </c>
      <c r="B8" s="3" t="s">
        <v>583</v>
      </c>
      <c r="C8" s="3" t="s">
        <v>610</v>
      </c>
      <c r="D8" s="9"/>
      <c r="E8" s="3">
        <v>27</v>
      </c>
      <c r="F8" s="3">
        <v>50</v>
      </c>
      <c r="G8" s="9">
        <v>0.48571428571428571</v>
      </c>
      <c r="H8" s="11">
        <v>4.5</v>
      </c>
      <c r="I8" s="11">
        <v>4</v>
      </c>
      <c r="J8" s="11">
        <v>5</v>
      </c>
      <c r="K8" s="11">
        <v>2</v>
      </c>
      <c r="L8" s="11" t="s">
        <v>703</v>
      </c>
      <c r="M8" s="11" t="s">
        <v>716</v>
      </c>
      <c r="N8" s="11">
        <v>2.5</v>
      </c>
      <c r="O8" s="11">
        <v>5</v>
      </c>
      <c r="P8" s="11">
        <v>2.5</v>
      </c>
      <c r="Q8" s="11">
        <v>4</v>
      </c>
      <c r="R8" s="11">
        <f t="shared" si="0"/>
        <v>76</v>
      </c>
      <c r="S8" s="3">
        <f t="shared" si="1"/>
        <v>3</v>
      </c>
      <c r="T8" s="3" t="s">
        <v>717</v>
      </c>
      <c r="U8" s="3" t="s">
        <v>612</v>
      </c>
    </row>
    <row r="9" spans="1:21" ht="27.6">
      <c r="A9" s="3" t="s">
        <v>479</v>
      </c>
      <c r="B9" s="3" t="s">
        <v>588</v>
      </c>
      <c r="C9" s="3" t="s">
        <v>614</v>
      </c>
      <c r="D9" s="9"/>
      <c r="E9" s="3"/>
      <c r="F9" s="3"/>
      <c r="G9" s="9">
        <v>0.25</v>
      </c>
      <c r="H9" s="11">
        <v>2.5</v>
      </c>
      <c r="I9" s="11">
        <v>1</v>
      </c>
      <c r="J9" s="11">
        <v>3.5</v>
      </c>
      <c r="K9" s="11">
        <v>5</v>
      </c>
      <c r="L9" s="11" t="s">
        <v>709</v>
      </c>
      <c r="M9" s="11" t="s">
        <v>718</v>
      </c>
      <c r="N9" s="11">
        <v>5</v>
      </c>
      <c r="O9" s="11">
        <v>5</v>
      </c>
      <c r="P9" s="11">
        <v>4</v>
      </c>
      <c r="Q9" s="11">
        <v>2</v>
      </c>
      <c r="R9" s="11">
        <f t="shared" si="0"/>
        <v>72.5</v>
      </c>
      <c r="S9" s="3">
        <f t="shared" si="1"/>
        <v>5</v>
      </c>
      <c r="T9" s="3" t="s">
        <v>719</v>
      </c>
      <c r="U9" s="3" t="s">
        <v>480</v>
      </c>
    </row>
    <row r="10" spans="1:21" ht="27.6">
      <c r="A10" s="3" t="s">
        <v>102</v>
      </c>
      <c r="B10" s="3" t="s">
        <v>583</v>
      </c>
      <c r="C10" s="3" t="s">
        <v>617</v>
      </c>
      <c r="D10" s="9"/>
      <c r="E10" s="3"/>
      <c r="F10" s="3"/>
      <c r="G10" s="9">
        <v>0.25</v>
      </c>
      <c r="H10" s="11">
        <v>2.5</v>
      </c>
      <c r="I10" s="11">
        <v>1</v>
      </c>
      <c r="J10" s="11">
        <v>3.5</v>
      </c>
      <c r="K10" s="11">
        <v>2.5</v>
      </c>
      <c r="L10" s="11" t="s">
        <v>720</v>
      </c>
      <c r="M10" s="11" t="s">
        <v>721</v>
      </c>
      <c r="N10" s="11">
        <v>2.5</v>
      </c>
      <c r="O10" s="11">
        <v>3</v>
      </c>
      <c r="P10" s="11">
        <v>5</v>
      </c>
      <c r="Q10" s="11">
        <v>5</v>
      </c>
      <c r="R10" s="11">
        <f t="shared" si="0"/>
        <v>59</v>
      </c>
      <c r="S10" s="3">
        <f t="shared" si="1"/>
        <v>14</v>
      </c>
      <c r="T10" s="3" t="s">
        <v>618</v>
      </c>
      <c r="U10" s="3" t="s">
        <v>619</v>
      </c>
    </row>
    <row r="11" spans="1:21" ht="27.6">
      <c r="A11" s="3" t="s">
        <v>61</v>
      </c>
      <c r="B11" s="3" t="s">
        <v>583</v>
      </c>
      <c r="C11" s="3" t="s">
        <v>621</v>
      </c>
      <c r="D11" s="9"/>
      <c r="E11" s="3">
        <v>21</v>
      </c>
      <c r="F11" s="3">
        <v>52</v>
      </c>
      <c r="G11" s="9">
        <v>0.3888888888888889</v>
      </c>
      <c r="H11" s="11">
        <v>4</v>
      </c>
      <c r="I11" s="11">
        <v>4</v>
      </c>
      <c r="J11" s="11">
        <v>5</v>
      </c>
      <c r="K11" s="11">
        <v>2.5</v>
      </c>
      <c r="L11" s="11" t="s">
        <v>703</v>
      </c>
      <c r="M11" s="11" t="s">
        <v>722</v>
      </c>
      <c r="N11" s="11">
        <v>2.5</v>
      </c>
      <c r="O11" s="11">
        <v>3</v>
      </c>
      <c r="P11" s="11">
        <v>4</v>
      </c>
      <c r="Q11" s="11">
        <v>3</v>
      </c>
      <c r="R11" s="11">
        <f t="shared" si="0"/>
        <v>71.5</v>
      </c>
      <c r="S11" s="3">
        <f t="shared" si="1"/>
        <v>6</v>
      </c>
      <c r="T11" s="3" t="s">
        <v>723</v>
      </c>
      <c r="U11" s="3" t="s">
        <v>623</v>
      </c>
    </row>
    <row r="12" spans="1:21" ht="27.6">
      <c r="A12" s="3" t="s">
        <v>54</v>
      </c>
      <c r="B12" s="3" t="s">
        <v>588</v>
      </c>
      <c r="C12" s="3" t="s">
        <v>625</v>
      </c>
      <c r="D12" s="9"/>
      <c r="E12" s="3">
        <v>38</v>
      </c>
      <c r="F12" s="3">
        <v>122</v>
      </c>
      <c r="G12" s="9">
        <v>0.31690140845070425</v>
      </c>
      <c r="H12" s="11">
        <v>3.5</v>
      </c>
      <c r="I12" s="11">
        <v>4.5</v>
      </c>
      <c r="J12" s="11">
        <v>2.5</v>
      </c>
      <c r="K12" s="11">
        <v>2</v>
      </c>
      <c r="L12" s="11" t="s">
        <v>703</v>
      </c>
      <c r="M12" s="11" t="s">
        <v>724</v>
      </c>
      <c r="N12" s="11">
        <v>2</v>
      </c>
      <c r="O12" s="11">
        <v>5</v>
      </c>
      <c r="P12" s="11">
        <v>4</v>
      </c>
      <c r="Q12" s="11">
        <v>3</v>
      </c>
      <c r="R12" s="11">
        <f t="shared" si="0"/>
        <v>66.5</v>
      </c>
      <c r="S12" s="3">
        <f t="shared" si="1"/>
        <v>9</v>
      </c>
      <c r="T12" s="3" t="s">
        <v>626</v>
      </c>
      <c r="U12" s="3" t="s">
        <v>627</v>
      </c>
    </row>
    <row r="13" spans="1:21" ht="27.6">
      <c r="A13" s="3" t="s">
        <v>490</v>
      </c>
      <c r="B13" s="3" t="s">
        <v>588</v>
      </c>
      <c r="C13" s="3" t="s">
        <v>629</v>
      </c>
      <c r="D13" s="9"/>
      <c r="E13" s="3"/>
      <c r="F13" s="3"/>
      <c r="G13" s="9">
        <v>0.25</v>
      </c>
      <c r="H13" s="11">
        <v>2.5</v>
      </c>
      <c r="I13" s="11">
        <v>1</v>
      </c>
      <c r="J13" s="11">
        <v>3.5</v>
      </c>
      <c r="K13" s="11">
        <v>3</v>
      </c>
      <c r="L13" s="11" t="s">
        <v>705</v>
      </c>
      <c r="M13" s="11" t="s">
        <v>725</v>
      </c>
      <c r="N13" s="11">
        <v>3.5</v>
      </c>
      <c r="O13" s="11">
        <v>4</v>
      </c>
      <c r="P13" s="11">
        <v>3</v>
      </c>
      <c r="Q13" s="11">
        <v>4</v>
      </c>
      <c r="R13" s="11">
        <f t="shared" si="0"/>
        <v>60.5</v>
      </c>
      <c r="S13" s="3">
        <f t="shared" si="1"/>
        <v>13</v>
      </c>
      <c r="T13" s="3" t="s">
        <v>630</v>
      </c>
      <c r="U13" s="3" t="s">
        <v>491</v>
      </c>
    </row>
    <row r="14" spans="1:21" ht="27.6">
      <c r="A14" s="3" t="s">
        <v>493</v>
      </c>
      <c r="B14" s="3" t="s">
        <v>588</v>
      </c>
      <c r="C14" s="3" t="s">
        <v>632</v>
      </c>
      <c r="D14" s="9"/>
      <c r="E14" s="3"/>
      <c r="F14" s="3"/>
      <c r="G14" s="9">
        <v>0.25</v>
      </c>
      <c r="H14" s="11">
        <v>2.5</v>
      </c>
      <c r="I14" s="11">
        <v>1</v>
      </c>
      <c r="J14" s="11">
        <v>3</v>
      </c>
      <c r="K14" s="11">
        <v>5</v>
      </c>
      <c r="L14" s="11" t="s">
        <v>726</v>
      </c>
      <c r="M14" s="11" t="s">
        <v>727</v>
      </c>
      <c r="N14" s="11">
        <v>5</v>
      </c>
      <c r="O14" s="11">
        <v>5</v>
      </c>
      <c r="P14" s="11">
        <v>3</v>
      </c>
      <c r="Q14" s="11">
        <v>3</v>
      </c>
      <c r="R14" s="11">
        <f t="shared" si="0"/>
        <v>70</v>
      </c>
      <c r="S14" s="3">
        <f t="shared" si="1"/>
        <v>7</v>
      </c>
      <c r="T14" s="3" t="s">
        <v>728</v>
      </c>
      <c r="U14" s="3" t="s">
        <v>494</v>
      </c>
    </row>
    <row r="15" spans="1:21" ht="27.6">
      <c r="A15" s="3" t="s">
        <v>496</v>
      </c>
      <c r="B15" s="3" t="s">
        <v>583</v>
      </c>
      <c r="C15" s="3" t="s">
        <v>635</v>
      </c>
      <c r="D15" s="9"/>
      <c r="E15" s="3"/>
      <c r="F15" s="3"/>
      <c r="G15" s="9">
        <v>0.25</v>
      </c>
      <c r="H15" s="11">
        <v>2.5</v>
      </c>
      <c r="I15" s="11">
        <v>1</v>
      </c>
      <c r="J15" s="11">
        <v>3</v>
      </c>
      <c r="K15" s="11">
        <v>3</v>
      </c>
      <c r="L15" s="11" t="s">
        <v>729</v>
      </c>
      <c r="M15" s="11" t="s">
        <v>730</v>
      </c>
      <c r="N15" s="11">
        <v>1</v>
      </c>
      <c r="O15" s="11">
        <v>5</v>
      </c>
      <c r="P15" s="11">
        <v>2.5</v>
      </c>
      <c r="Q15" s="11">
        <v>3</v>
      </c>
      <c r="R15" s="11">
        <f t="shared" si="0"/>
        <v>55</v>
      </c>
      <c r="S15" s="3">
        <f t="shared" si="1"/>
        <v>15</v>
      </c>
      <c r="T15" s="3" t="s">
        <v>636</v>
      </c>
      <c r="U15" s="3" t="s">
        <v>499</v>
      </c>
    </row>
    <row r="16" spans="1:21" ht="27.6">
      <c r="A16" s="3" t="s">
        <v>501</v>
      </c>
      <c r="B16" s="3" t="s">
        <v>583</v>
      </c>
      <c r="C16" s="3" t="s">
        <v>638</v>
      </c>
      <c r="D16" s="9"/>
      <c r="E16" s="3"/>
      <c r="F16" s="3"/>
      <c r="G16" s="9">
        <v>0.25</v>
      </c>
      <c r="H16" s="11">
        <v>2.5</v>
      </c>
      <c r="I16" s="11">
        <v>1</v>
      </c>
      <c r="J16" s="11">
        <v>2.5</v>
      </c>
      <c r="K16" s="11">
        <v>2.5</v>
      </c>
      <c r="L16" s="11" t="s">
        <v>729</v>
      </c>
      <c r="M16" s="11" t="s">
        <v>731</v>
      </c>
      <c r="N16" s="11">
        <v>1</v>
      </c>
      <c r="O16" s="11">
        <v>5</v>
      </c>
      <c r="P16" s="11">
        <v>2.5</v>
      </c>
      <c r="Q16" s="11">
        <v>3</v>
      </c>
      <c r="R16" s="11">
        <f t="shared" si="0"/>
        <v>52</v>
      </c>
      <c r="S16" s="3">
        <f t="shared" si="1"/>
        <v>16</v>
      </c>
      <c r="T16" s="3" t="s">
        <v>639</v>
      </c>
      <c r="U16" s="3" t="s">
        <v>502</v>
      </c>
    </row>
    <row r="17" spans="1:21" ht="27.6">
      <c r="A17" s="3" t="s">
        <v>133</v>
      </c>
      <c r="B17" s="3" t="s">
        <v>588</v>
      </c>
      <c r="C17" s="3" t="s">
        <v>641</v>
      </c>
      <c r="D17" s="9">
        <v>0.18</v>
      </c>
      <c r="E17" s="3"/>
      <c r="F17" s="3"/>
      <c r="G17" s="9">
        <v>0.24</v>
      </c>
      <c r="H17" s="11">
        <v>2.5</v>
      </c>
      <c r="I17" s="11">
        <v>2</v>
      </c>
      <c r="J17" s="11">
        <v>3</v>
      </c>
      <c r="K17" s="11">
        <v>4.5</v>
      </c>
      <c r="L17" s="11" t="s">
        <v>732</v>
      </c>
      <c r="M17" s="11" t="s">
        <v>733</v>
      </c>
      <c r="N17" s="11">
        <v>4.5</v>
      </c>
      <c r="O17" s="11">
        <v>5</v>
      </c>
      <c r="P17" s="11">
        <v>2</v>
      </c>
      <c r="Q17" s="11">
        <v>1</v>
      </c>
      <c r="R17" s="11">
        <f t="shared" si="0"/>
        <v>65.5</v>
      </c>
      <c r="S17" s="3">
        <f t="shared" si="1"/>
        <v>12</v>
      </c>
      <c r="T17" s="3" t="s">
        <v>734</v>
      </c>
      <c r="U17" s="3" t="s">
        <v>137</v>
      </c>
    </row>
    <row r="18" spans="1:21" ht="27.6">
      <c r="A18" s="3" t="s">
        <v>76</v>
      </c>
      <c r="B18" s="3" t="s">
        <v>646</v>
      </c>
      <c r="C18" s="3" t="s">
        <v>645</v>
      </c>
      <c r="D18" s="9"/>
      <c r="E18" s="3"/>
      <c r="F18" s="3"/>
      <c r="G18" s="9">
        <v>0.25</v>
      </c>
      <c r="H18" s="11">
        <v>2.5</v>
      </c>
      <c r="I18" s="11">
        <v>1</v>
      </c>
      <c r="J18" s="11">
        <v>4</v>
      </c>
      <c r="K18" s="11">
        <v>3</v>
      </c>
      <c r="L18" s="11" t="s">
        <v>705</v>
      </c>
      <c r="M18" s="11" t="s">
        <v>735</v>
      </c>
      <c r="N18" s="11">
        <v>3.5</v>
      </c>
      <c r="O18" s="11">
        <v>5</v>
      </c>
      <c r="P18" s="11">
        <v>4</v>
      </c>
      <c r="Q18" s="11">
        <v>3</v>
      </c>
      <c r="R18" s="11">
        <f t="shared" si="0"/>
        <v>0</v>
      </c>
      <c r="S18" s="3" t="str">
        <f t="shared" si="1"/>
        <v/>
      </c>
      <c r="T18" s="3" t="s">
        <v>736</v>
      </c>
      <c r="U18" s="3" t="s">
        <v>80</v>
      </c>
    </row>
    <row r="19" spans="1:21" ht="27.6">
      <c r="A19" s="3" t="s">
        <v>83</v>
      </c>
      <c r="B19" s="3" t="s">
        <v>646</v>
      </c>
      <c r="C19" s="3" t="s">
        <v>649</v>
      </c>
      <c r="D19" s="9"/>
      <c r="E19" s="3"/>
      <c r="F19" s="3"/>
      <c r="G19" s="9">
        <v>0.25</v>
      </c>
      <c r="H19" s="11">
        <v>2.5</v>
      </c>
      <c r="I19" s="11">
        <v>1</v>
      </c>
      <c r="J19" s="11">
        <v>4</v>
      </c>
      <c r="K19" s="11">
        <v>3</v>
      </c>
      <c r="L19" s="11" t="s">
        <v>705</v>
      </c>
      <c r="M19" s="11" t="s">
        <v>737</v>
      </c>
      <c r="N19" s="11">
        <v>3</v>
      </c>
      <c r="O19" s="11">
        <v>4.5</v>
      </c>
      <c r="P19" s="11">
        <v>3</v>
      </c>
      <c r="Q19" s="11">
        <v>3</v>
      </c>
      <c r="R19" s="11">
        <f t="shared" si="0"/>
        <v>0</v>
      </c>
      <c r="S19" s="3" t="str">
        <f t="shared" si="1"/>
        <v/>
      </c>
      <c r="T19" s="3" t="s">
        <v>736</v>
      </c>
      <c r="U19" s="3" t="s">
        <v>509</v>
      </c>
    </row>
    <row r="20" spans="1:21" ht="27.6">
      <c r="A20" s="3" t="s">
        <v>88</v>
      </c>
      <c r="B20" s="3" t="s">
        <v>646</v>
      </c>
      <c r="C20" s="3" t="s">
        <v>652</v>
      </c>
      <c r="D20" s="9"/>
      <c r="E20" s="3">
        <v>39</v>
      </c>
      <c r="F20" s="3">
        <v>74</v>
      </c>
      <c r="G20" s="9">
        <v>0.43548387096774194</v>
      </c>
      <c r="H20" s="11">
        <v>4.5</v>
      </c>
      <c r="I20" s="11">
        <v>2.5</v>
      </c>
      <c r="J20" s="11">
        <v>5</v>
      </c>
      <c r="K20" s="11">
        <v>3</v>
      </c>
      <c r="L20" s="11" t="s">
        <v>738</v>
      </c>
      <c r="M20" s="11" t="s">
        <v>739</v>
      </c>
      <c r="N20" s="11">
        <v>3</v>
      </c>
      <c r="O20" s="11">
        <v>2.5</v>
      </c>
      <c r="P20" s="11">
        <v>4</v>
      </c>
      <c r="Q20" s="11">
        <v>2</v>
      </c>
      <c r="R20" s="11">
        <f t="shared" si="0"/>
        <v>0</v>
      </c>
      <c r="S20" s="3" t="str">
        <f t="shared" si="1"/>
        <v/>
      </c>
      <c r="T20" s="3" t="s">
        <v>736</v>
      </c>
      <c r="U20" s="3" t="s">
        <v>655</v>
      </c>
    </row>
    <row r="21" spans="1:21" ht="27.6">
      <c r="A21" s="3" t="s">
        <v>96</v>
      </c>
      <c r="B21" s="3" t="s">
        <v>646</v>
      </c>
      <c r="C21" s="3" t="s">
        <v>657</v>
      </c>
      <c r="D21" s="9"/>
      <c r="E21" s="3"/>
      <c r="F21" s="3"/>
      <c r="G21" s="9">
        <v>0.25</v>
      </c>
      <c r="H21" s="11">
        <v>2.5</v>
      </c>
      <c r="I21" s="11">
        <v>1</v>
      </c>
      <c r="J21" s="11">
        <v>5</v>
      </c>
      <c r="K21" s="11">
        <v>2.5</v>
      </c>
      <c r="L21" s="11" t="s">
        <v>740</v>
      </c>
      <c r="M21" s="11" t="s">
        <v>741</v>
      </c>
      <c r="N21" s="11">
        <v>3</v>
      </c>
      <c r="O21" s="11">
        <v>2.5</v>
      </c>
      <c r="P21" s="11">
        <v>3</v>
      </c>
      <c r="Q21" s="11">
        <v>2</v>
      </c>
      <c r="R21" s="11">
        <f t="shared" si="0"/>
        <v>0</v>
      </c>
      <c r="S21" s="3" t="str">
        <f t="shared" si="1"/>
        <v/>
      </c>
      <c r="T21" s="3" t="s">
        <v>736</v>
      </c>
      <c r="U21" s="3" t="s">
        <v>515</v>
      </c>
    </row>
    <row r="22" spans="1:21">
      <c r="A22" s="3" t="s">
        <v>517</v>
      </c>
      <c r="B22" s="3" t="s">
        <v>646</v>
      </c>
      <c r="C22" s="3" t="s">
        <v>660</v>
      </c>
      <c r="D22" s="9"/>
      <c r="E22" s="3"/>
      <c r="F22" s="3"/>
      <c r="G22" s="9">
        <v>0.25</v>
      </c>
      <c r="H22" s="11">
        <v>2.5</v>
      </c>
      <c r="I22" s="11">
        <v>1</v>
      </c>
      <c r="J22" s="11">
        <v>2.5</v>
      </c>
      <c r="K22" s="11">
        <v>2</v>
      </c>
      <c r="L22" s="11" t="s">
        <v>720</v>
      </c>
      <c r="M22" s="11" t="s">
        <v>742</v>
      </c>
      <c r="N22" s="11">
        <v>2.5</v>
      </c>
      <c r="O22" s="11">
        <v>3</v>
      </c>
      <c r="P22" s="11">
        <v>4</v>
      </c>
      <c r="Q22" s="11">
        <v>2</v>
      </c>
      <c r="R22" s="11">
        <f t="shared" si="0"/>
        <v>0</v>
      </c>
      <c r="S22" s="3" t="str">
        <f t="shared" si="1"/>
        <v/>
      </c>
      <c r="T22" s="3" t="s">
        <v>736</v>
      </c>
      <c r="U22" s="3" t="s">
        <v>115</v>
      </c>
    </row>
    <row r="23" spans="1:21" ht="27.6">
      <c r="A23" s="3" t="s">
        <v>118</v>
      </c>
      <c r="B23" s="3" t="s">
        <v>646</v>
      </c>
      <c r="C23" s="3" t="s">
        <v>663</v>
      </c>
      <c r="D23" s="9"/>
      <c r="E23" s="3"/>
      <c r="F23" s="3"/>
      <c r="G23" s="9">
        <v>0.2</v>
      </c>
      <c r="H23" s="11">
        <v>2.5</v>
      </c>
      <c r="I23" s="11">
        <v>1</v>
      </c>
      <c r="J23" s="11">
        <v>5</v>
      </c>
      <c r="K23" s="11">
        <v>5</v>
      </c>
      <c r="L23" s="11" t="s">
        <v>709</v>
      </c>
      <c r="M23" s="11" t="s">
        <v>743</v>
      </c>
      <c r="N23" s="11">
        <v>4.5</v>
      </c>
      <c r="O23" s="11">
        <v>1</v>
      </c>
      <c r="P23" s="11">
        <v>1</v>
      </c>
      <c r="Q23" s="11">
        <v>2</v>
      </c>
      <c r="R23" s="11">
        <f t="shared" si="0"/>
        <v>0</v>
      </c>
      <c r="S23" s="3" t="str">
        <f t="shared" si="1"/>
        <v/>
      </c>
      <c r="T23" s="3" t="s">
        <v>736</v>
      </c>
      <c r="U23" s="3" t="s">
        <v>124</v>
      </c>
    </row>
    <row r="24" spans="1:21" ht="27.6">
      <c r="A24" s="3" t="s">
        <v>126</v>
      </c>
      <c r="B24" s="3" t="s">
        <v>646</v>
      </c>
      <c r="C24" s="3" t="s">
        <v>666</v>
      </c>
      <c r="D24" s="9"/>
      <c r="E24" s="3"/>
      <c r="F24" s="3"/>
      <c r="G24" s="9">
        <v>0.25</v>
      </c>
      <c r="H24" s="11">
        <v>2.5</v>
      </c>
      <c r="I24" s="11">
        <v>1</v>
      </c>
      <c r="J24" s="11">
        <v>2.5</v>
      </c>
      <c r="K24" s="11">
        <v>2.5</v>
      </c>
      <c r="L24" s="11" t="s">
        <v>744</v>
      </c>
      <c r="M24" s="11" t="s">
        <v>745</v>
      </c>
      <c r="N24" s="11">
        <v>3</v>
      </c>
      <c r="O24" s="11">
        <v>2</v>
      </c>
      <c r="P24" s="11">
        <v>1</v>
      </c>
      <c r="Q24" s="11">
        <v>1</v>
      </c>
      <c r="R24" s="11">
        <f t="shared" si="0"/>
        <v>0</v>
      </c>
      <c r="S24" s="3" t="str">
        <f t="shared" si="1"/>
        <v/>
      </c>
      <c r="T24" s="3" t="s">
        <v>736</v>
      </c>
      <c r="U24" s="3" t="s">
        <v>131</v>
      </c>
    </row>
    <row r="25" spans="1:21" ht="27.6">
      <c r="A25" s="3" t="s">
        <v>140</v>
      </c>
      <c r="B25" s="3" t="s">
        <v>646</v>
      </c>
      <c r="C25" s="3" t="s">
        <v>668</v>
      </c>
      <c r="D25" s="9"/>
      <c r="E25" s="3"/>
      <c r="F25" s="3"/>
      <c r="G25" s="9">
        <v>0.25</v>
      </c>
      <c r="H25" s="11">
        <v>2.5</v>
      </c>
      <c r="I25" s="11">
        <v>1</v>
      </c>
      <c r="J25" s="11">
        <v>1.5</v>
      </c>
      <c r="K25" s="11">
        <v>3.5</v>
      </c>
      <c r="L25" s="11" t="s">
        <v>746</v>
      </c>
      <c r="M25" s="11" t="s">
        <v>747</v>
      </c>
      <c r="N25" s="11">
        <v>4</v>
      </c>
      <c r="O25" s="11">
        <v>5</v>
      </c>
      <c r="P25" s="11">
        <v>2</v>
      </c>
      <c r="Q25" s="11">
        <v>1</v>
      </c>
      <c r="R25" s="11">
        <f t="shared" si="0"/>
        <v>0</v>
      </c>
      <c r="S25" s="3" t="str">
        <f t="shared" si="1"/>
        <v/>
      </c>
      <c r="T25" s="3" t="s">
        <v>736</v>
      </c>
      <c r="U25" s="3" t="s">
        <v>144</v>
      </c>
    </row>
    <row r="26" spans="1:21" ht="27.6">
      <c r="A26" s="3" t="s">
        <v>146</v>
      </c>
      <c r="B26" s="3" t="s">
        <v>646</v>
      </c>
      <c r="C26" s="3" t="s">
        <v>671</v>
      </c>
      <c r="D26" s="9"/>
      <c r="E26" s="3"/>
      <c r="F26" s="3"/>
      <c r="G26" s="9">
        <v>0.15</v>
      </c>
      <c r="H26" s="11">
        <v>1.5</v>
      </c>
      <c r="I26" s="11">
        <v>1</v>
      </c>
      <c r="J26" s="11">
        <v>4</v>
      </c>
      <c r="K26" s="11">
        <v>5</v>
      </c>
      <c r="L26" s="11" t="s">
        <v>709</v>
      </c>
      <c r="M26" s="11" t="s">
        <v>748</v>
      </c>
      <c r="N26" s="11">
        <v>5</v>
      </c>
      <c r="O26" s="11">
        <v>4</v>
      </c>
      <c r="P26" s="11">
        <v>1</v>
      </c>
      <c r="Q26" s="11">
        <v>1</v>
      </c>
      <c r="R26" s="11">
        <f t="shared" si="0"/>
        <v>0</v>
      </c>
      <c r="S26" s="3" t="str">
        <f t="shared" si="1"/>
        <v/>
      </c>
      <c r="T26" s="3" t="s">
        <v>736</v>
      </c>
      <c r="U26" s="3" t="s">
        <v>153</v>
      </c>
    </row>
    <row r="27" spans="1:21" ht="27.6">
      <c r="A27" s="3" t="s">
        <v>156</v>
      </c>
      <c r="B27" s="3" t="s">
        <v>646</v>
      </c>
      <c r="C27" s="3" t="s">
        <v>674</v>
      </c>
      <c r="D27" s="9"/>
      <c r="E27" s="3"/>
      <c r="F27" s="3"/>
      <c r="G27" s="9">
        <v>0.2</v>
      </c>
      <c r="H27" s="11">
        <v>2.5</v>
      </c>
      <c r="I27" s="11">
        <v>1</v>
      </c>
      <c r="J27" s="11">
        <v>1</v>
      </c>
      <c r="K27" s="11">
        <v>1</v>
      </c>
      <c r="L27" s="11" t="s">
        <v>749</v>
      </c>
      <c r="M27" s="11" t="s">
        <v>750</v>
      </c>
      <c r="N27" s="11">
        <v>1.5</v>
      </c>
      <c r="O27" s="11">
        <v>1</v>
      </c>
      <c r="P27" s="11">
        <v>3</v>
      </c>
      <c r="Q27" s="11">
        <v>1</v>
      </c>
      <c r="R27" s="11">
        <f t="shared" si="0"/>
        <v>0</v>
      </c>
      <c r="S27" s="3" t="str">
        <f t="shared" si="1"/>
        <v/>
      </c>
      <c r="T27" s="3" t="s">
        <v>736</v>
      </c>
      <c r="U27" s="3" t="s">
        <v>161</v>
      </c>
    </row>
    <row r="28" spans="1:21" ht="27.6">
      <c r="A28" s="3" t="s">
        <v>345</v>
      </c>
      <c r="B28" s="3" t="s">
        <v>646</v>
      </c>
      <c r="C28" s="3" t="s">
        <v>676</v>
      </c>
      <c r="D28" s="9"/>
      <c r="E28" s="3"/>
      <c r="F28" s="3"/>
      <c r="G28" s="9">
        <v>0.2</v>
      </c>
      <c r="H28" s="11">
        <v>2.5</v>
      </c>
      <c r="I28" s="11">
        <v>1</v>
      </c>
      <c r="J28" s="11">
        <v>5</v>
      </c>
      <c r="K28" s="11">
        <v>3</v>
      </c>
      <c r="L28" s="11" t="s">
        <v>751</v>
      </c>
      <c r="M28" s="11" t="s">
        <v>752</v>
      </c>
      <c r="N28" s="11">
        <v>3</v>
      </c>
      <c r="O28" s="11">
        <v>4</v>
      </c>
      <c r="P28" s="11">
        <v>5</v>
      </c>
      <c r="Q28" s="11">
        <v>4</v>
      </c>
      <c r="R28" s="11">
        <f t="shared" si="0"/>
        <v>0</v>
      </c>
      <c r="S28" s="3" t="str">
        <f t="shared" si="1"/>
        <v/>
      </c>
      <c r="T28" s="3" t="s">
        <v>736</v>
      </c>
      <c r="U28" s="3" t="s">
        <v>354</v>
      </c>
    </row>
    <row r="31" spans="1:21">
      <c r="A31" s="12" t="s">
        <v>753</v>
      </c>
      <c r="B31" s="12"/>
    </row>
    <row r="32" spans="1:21">
      <c r="A32" s="3" t="s">
        <v>754</v>
      </c>
      <c r="B32" s="3" t="s">
        <v>755</v>
      </c>
    </row>
    <row r="33" spans="1:2" ht="27.6">
      <c r="A33" s="3" t="s">
        <v>687</v>
      </c>
      <c r="B33" s="3" t="s">
        <v>756</v>
      </c>
    </row>
    <row r="34" spans="1:2" ht="27.6">
      <c r="A34" s="3" t="s">
        <v>757</v>
      </c>
      <c r="B34" s="3" t="s">
        <v>758</v>
      </c>
    </row>
    <row r="35" spans="1:2" ht="27.6">
      <c r="A35" s="3" t="s">
        <v>759</v>
      </c>
      <c r="B35" s="3" t="s">
        <v>760</v>
      </c>
    </row>
    <row r="36" spans="1:2">
      <c r="A36" s="3" t="s">
        <v>568</v>
      </c>
      <c r="B36" s="3" t="s">
        <v>761</v>
      </c>
    </row>
  </sheetData>
  <conditionalFormatting sqref="B2:B28">
    <cfRule type="expression" dxfId="9" priority="3">
      <formula>B2="FAIL"</formula>
    </cfRule>
  </conditionalFormatting>
  <conditionalFormatting sqref="H2:R28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conditionalFormatting sqref="L2:L28">
    <cfRule type="expression" dxfId="8" priority="4">
      <formula>OR(L2="Explicit",L2="Explicit/standards")</formula>
    </cfRule>
  </conditionalFormatting>
  <conditionalFormatting sqref="R2:R28">
    <cfRule type="dataBar" priority="2">
      <dataBar>
        <cfvo type="min"/>
        <cfvo type="max"/>
        <color rgb="FF2563EB"/>
      </dataBar>
    </cfRule>
    <cfRule type="dataBar" priority="6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{7B45A97A-2BB5-2E31-5EAF-05CDF5EF8EC4}</x14:id>
        </ext>
      </extLst>
    </cfRule>
  </conditionalFormatting>
  <conditionalFormatting sqref="T2:T28">
    <cfRule type="expression" dxfId="7" priority="5">
      <formula>LEFT(T2,7)="PRIMARY"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45A97A-2BB5-2E31-5EAF-05CDF5EF8EC4}">
            <x14:dataBar>
              <x14:cfvo type="min"/>
              <x14:cfvo type="max"/>
              <x14:negativeFillColor auto="1"/>
              <x14:axisColor auto="1"/>
            </x14:dataBar>
          </x14:cfRule>
          <xm:sqref>R2:R28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1"/>
  <sheetViews>
    <sheetView workbookViewId="0">
      <selection sqref="A1:P1"/>
    </sheetView>
  </sheetViews>
  <sheetFormatPr defaultRowHeight="13.8"/>
  <cols>
    <col min="1" max="1" width="7" customWidth="1"/>
    <col min="2" max="2" width="28" customWidth="1"/>
    <col min="3" max="3" width="22" customWidth="1"/>
    <col min="4" max="4" width="20" customWidth="1"/>
    <col min="5" max="6" width="13" customWidth="1"/>
    <col min="7" max="12" width="11" customWidth="1"/>
    <col min="13" max="13" width="25" customWidth="1"/>
    <col min="14" max="14" width="58" customWidth="1"/>
    <col min="15" max="15" width="44" customWidth="1"/>
    <col min="16" max="16" width="48" customWidth="1"/>
  </cols>
  <sheetData>
    <row r="1" spans="1:16" ht="22.35" customHeight="1">
      <c r="A1" s="21" t="s">
        <v>762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27.15" customHeight="1">
      <c r="A2" s="22" t="s">
        <v>763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25.65" customHeight="1">
      <c r="A4" s="13" t="s">
        <v>764</v>
      </c>
      <c r="B4" s="13" t="s">
        <v>0</v>
      </c>
      <c r="C4" s="13" t="s">
        <v>1</v>
      </c>
      <c r="D4" s="13" t="s">
        <v>765</v>
      </c>
      <c r="E4" s="13" t="s">
        <v>766</v>
      </c>
      <c r="F4" s="13" t="s">
        <v>767</v>
      </c>
      <c r="G4" s="13" t="s">
        <v>768</v>
      </c>
      <c r="H4" s="13" t="s">
        <v>9</v>
      </c>
      <c r="I4" s="13" t="s">
        <v>769</v>
      </c>
      <c r="J4" s="13" t="s">
        <v>699</v>
      </c>
      <c r="K4" s="13" t="s">
        <v>698</v>
      </c>
      <c r="L4" s="13" t="s">
        <v>770</v>
      </c>
      <c r="M4" s="13" t="s">
        <v>771</v>
      </c>
      <c r="N4" s="13" t="s">
        <v>772</v>
      </c>
      <c r="O4" s="13" t="s">
        <v>773</v>
      </c>
      <c r="P4" s="13" t="s">
        <v>774</v>
      </c>
    </row>
    <row r="5" spans="1:16" ht="55.95" customHeight="1">
      <c r="A5" s="17">
        <f t="shared" ref="A5:A21" si="0">RANK(L5,$L$5:$L$21,0)</f>
        <v>1</v>
      </c>
      <c r="B5" s="14" t="s">
        <v>775</v>
      </c>
      <c r="C5" s="14" t="s">
        <v>776</v>
      </c>
      <c r="D5" s="14" t="s">
        <v>777</v>
      </c>
      <c r="E5" s="15">
        <v>46230</v>
      </c>
      <c r="F5" s="15">
        <v>46266</v>
      </c>
      <c r="G5" s="16">
        <v>5</v>
      </c>
      <c r="H5" s="16">
        <v>5</v>
      </c>
      <c r="I5" s="16">
        <v>3.5</v>
      </c>
      <c r="J5" s="16">
        <v>5</v>
      </c>
      <c r="K5" s="16">
        <v>5</v>
      </c>
      <c r="L5" s="16">
        <f t="shared" ref="L5:L21" si="1">ROUND(0.35*G5+0.2*H5+0.15*I5+0.15*J5+0.15*K5,2)</f>
        <v>4.78</v>
      </c>
      <c r="M5" s="14" t="s">
        <v>778</v>
      </c>
      <c r="N5" s="14" t="s">
        <v>779</v>
      </c>
      <c r="O5" s="14" t="s">
        <v>25</v>
      </c>
      <c r="P5" s="14" t="s">
        <v>780</v>
      </c>
    </row>
    <row r="6" spans="1:16" ht="55.95" customHeight="1">
      <c r="A6" s="17">
        <f t="shared" si="0"/>
        <v>1</v>
      </c>
      <c r="B6" s="14" t="s">
        <v>781</v>
      </c>
      <c r="C6" s="14" t="s">
        <v>776</v>
      </c>
      <c r="D6" s="14" t="s">
        <v>777</v>
      </c>
      <c r="E6" s="15">
        <v>46236</v>
      </c>
      <c r="F6" s="15">
        <v>46278</v>
      </c>
      <c r="G6" s="16">
        <v>5</v>
      </c>
      <c r="H6" s="16">
        <v>5</v>
      </c>
      <c r="I6" s="16">
        <v>4</v>
      </c>
      <c r="J6" s="16">
        <v>5</v>
      </c>
      <c r="K6" s="16">
        <v>4.5</v>
      </c>
      <c r="L6" s="16">
        <f t="shared" si="1"/>
        <v>4.78</v>
      </c>
      <c r="M6" s="14" t="s">
        <v>778</v>
      </c>
      <c r="N6" s="14" t="s">
        <v>782</v>
      </c>
      <c r="O6" s="14" t="s">
        <v>783</v>
      </c>
      <c r="P6" s="14" t="s">
        <v>784</v>
      </c>
    </row>
    <row r="7" spans="1:16" ht="55.95" customHeight="1">
      <c r="A7" s="17">
        <f t="shared" si="0"/>
        <v>3</v>
      </c>
      <c r="B7" s="14" t="s">
        <v>785</v>
      </c>
      <c r="C7" s="14" t="s">
        <v>776</v>
      </c>
      <c r="D7" s="14" t="s">
        <v>777</v>
      </c>
      <c r="E7" s="15">
        <v>46234</v>
      </c>
      <c r="F7" s="15">
        <v>46275</v>
      </c>
      <c r="G7" s="16">
        <v>4.5</v>
      </c>
      <c r="H7" s="16">
        <v>4.5</v>
      </c>
      <c r="I7" s="16">
        <v>4</v>
      </c>
      <c r="J7" s="16">
        <v>5</v>
      </c>
      <c r="K7" s="16">
        <v>4.5</v>
      </c>
      <c r="L7" s="16">
        <f t="shared" si="1"/>
        <v>4.5</v>
      </c>
      <c r="M7" s="14" t="s">
        <v>778</v>
      </c>
      <c r="N7" s="14" t="s">
        <v>786</v>
      </c>
      <c r="O7" s="14" t="s">
        <v>787</v>
      </c>
      <c r="P7" s="14" t="s">
        <v>788</v>
      </c>
    </row>
    <row r="8" spans="1:16" ht="55.95" customHeight="1">
      <c r="A8" s="17">
        <f t="shared" si="0"/>
        <v>3</v>
      </c>
      <c r="B8" s="14" t="s">
        <v>459</v>
      </c>
      <c r="C8" s="14" t="s">
        <v>789</v>
      </c>
      <c r="D8" s="14" t="s">
        <v>790</v>
      </c>
      <c r="E8" s="15">
        <v>46241</v>
      </c>
      <c r="F8" s="15">
        <v>46272</v>
      </c>
      <c r="G8" s="16">
        <v>4</v>
      </c>
      <c r="H8" s="16">
        <v>5</v>
      </c>
      <c r="I8" s="16">
        <v>4</v>
      </c>
      <c r="J8" s="16">
        <v>5</v>
      </c>
      <c r="K8" s="16">
        <v>5</v>
      </c>
      <c r="L8" s="16">
        <f t="shared" si="1"/>
        <v>4.5</v>
      </c>
      <c r="M8" s="14" t="s">
        <v>791</v>
      </c>
      <c r="N8" s="14" t="s">
        <v>792</v>
      </c>
      <c r="O8" s="14" t="s">
        <v>793</v>
      </c>
      <c r="P8" s="14" t="s">
        <v>794</v>
      </c>
    </row>
    <row r="9" spans="1:16" ht="55.95" customHeight="1">
      <c r="A9" s="17">
        <f t="shared" si="0"/>
        <v>5</v>
      </c>
      <c r="B9" s="14" t="s">
        <v>795</v>
      </c>
      <c r="C9" s="14" t="s">
        <v>776</v>
      </c>
      <c r="D9" s="14" t="s">
        <v>796</v>
      </c>
      <c r="E9" s="15">
        <v>46227</v>
      </c>
      <c r="F9" s="15">
        <v>46255</v>
      </c>
      <c r="G9" s="16">
        <v>4.5</v>
      </c>
      <c r="H9" s="16">
        <v>4</v>
      </c>
      <c r="I9" s="16">
        <v>4</v>
      </c>
      <c r="J9" s="16">
        <v>5</v>
      </c>
      <c r="K9" s="16">
        <v>5</v>
      </c>
      <c r="L9" s="16">
        <f t="shared" si="1"/>
        <v>4.4800000000000004</v>
      </c>
      <c r="M9" s="14" t="s">
        <v>797</v>
      </c>
      <c r="N9" s="14" t="s">
        <v>798</v>
      </c>
      <c r="O9" s="14" t="s">
        <v>354</v>
      </c>
      <c r="P9" s="14" t="s">
        <v>799</v>
      </c>
    </row>
    <row r="10" spans="1:16" ht="55.95" customHeight="1">
      <c r="A10" s="17">
        <f t="shared" si="0"/>
        <v>5</v>
      </c>
      <c r="B10" s="14" t="s">
        <v>800</v>
      </c>
      <c r="C10" s="14" t="s">
        <v>801</v>
      </c>
      <c r="D10" s="14" t="s">
        <v>802</v>
      </c>
      <c r="E10" s="15">
        <v>46234</v>
      </c>
      <c r="F10" s="15">
        <v>46254</v>
      </c>
      <c r="G10" s="16">
        <v>4.5</v>
      </c>
      <c r="H10" s="16">
        <v>4</v>
      </c>
      <c r="I10" s="16">
        <v>4</v>
      </c>
      <c r="J10" s="16">
        <v>5</v>
      </c>
      <c r="K10" s="16">
        <v>5</v>
      </c>
      <c r="L10" s="16">
        <f t="shared" si="1"/>
        <v>4.4800000000000004</v>
      </c>
      <c r="M10" s="14" t="s">
        <v>803</v>
      </c>
      <c r="N10" s="14" t="s">
        <v>804</v>
      </c>
      <c r="O10" s="14" t="s">
        <v>805</v>
      </c>
      <c r="P10" s="14" t="s">
        <v>806</v>
      </c>
    </row>
    <row r="11" spans="1:16" ht="55.95" customHeight="1">
      <c r="A11" s="17">
        <f t="shared" si="0"/>
        <v>7</v>
      </c>
      <c r="B11" s="14" t="s">
        <v>807</v>
      </c>
      <c r="C11" s="14" t="s">
        <v>776</v>
      </c>
      <c r="D11" s="14" t="s">
        <v>796</v>
      </c>
      <c r="E11" s="15">
        <v>46234</v>
      </c>
      <c r="F11" s="15">
        <v>46255</v>
      </c>
      <c r="G11" s="16">
        <v>4</v>
      </c>
      <c r="H11" s="16">
        <v>4.5</v>
      </c>
      <c r="I11" s="16">
        <v>4</v>
      </c>
      <c r="J11" s="16">
        <v>5</v>
      </c>
      <c r="K11" s="16">
        <v>5</v>
      </c>
      <c r="L11" s="16">
        <f t="shared" si="1"/>
        <v>4.4000000000000004</v>
      </c>
      <c r="M11" s="14" t="s">
        <v>808</v>
      </c>
      <c r="N11" s="14" t="s">
        <v>809</v>
      </c>
      <c r="O11" s="14" t="s">
        <v>810</v>
      </c>
      <c r="P11" s="14" t="s">
        <v>811</v>
      </c>
    </row>
    <row r="12" spans="1:16" ht="55.95" customHeight="1">
      <c r="A12" s="17">
        <f t="shared" si="0"/>
        <v>7</v>
      </c>
      <c r="B12" s="14" t="s">
        <v>479</v>
      </c>
      <c r="C12" s="14" t="s">
        <v>789</v>
      </c>
      <c r="D12" s="14" t="s">
        <v>790</v>
      </c>
      <c r="E12" s="15">
        <v>46249</v>
      </c>
      <c r="F12" s="15">
        <v>46285</v>
      </c>
      <c r="G12" s="16">
        <v>5</v>
      </c>
      <c r="H12" s="16">
        <v>5</v>
      </c>
      <c r="I12" s="16">
        <v>3</v>
      </c>
      <c r="J12" s="16">
        <v>4</v>
      </c>
      <c r="K12" s="16">
        <v>4</v>
      </c>
      <c r="L12" s="16">
        <f t="shared" si="1"/>
        <v>4.4000000000000004</v>
      </c>
      <c r="M12" s="14" t="s">
        <v>812</v>
      </c>
      <c r="N12" s="14" t="s">
        <v>813</v>
      </c>
      <c r="O12" s="14" t="s">
        <v>480</v>
      </c>
      <c r="P12" s="14" t="s">
        <v>814</v>
      </c>
    </row>
    <row r="13" spans="1:16" ht="55.95" customHeight="1">
      <c r="A13" s="17">
        <f t="shared" si="0"/>
        <v>9</v>
      </c>
      <c r="B13" s="14" t="s">
        <v>815</v>
      </c>
      <c r="C13" s="14" t="s">
        <v>789</v>
      </c>
      <c r="D13" s="14" t="s">
        <v>790</v>
      </c>
      <c r="E13" s="15">
        <v>46239</v>
      </c>
      <c r="F13" s="15">
        <v>46280</v>
      </c>
      <c r="G13" s="16">
        <v>4.5</v>
      </c>
      <c r="H13" s="16">
        <v>5</v>
      </c>
      <c r="I13" s="16">
        <v>3</v>
      </c>
      <c r="J13" s="16">
        <v>4.5</v>
      </c>
      <c r="K13" s="16">
        <v>4.5</v>
      </c>
      <c r="L13" s="16">
        <f t="shared" si="1"/>
        <v>4.38</v>
      </c>
      <c r="M13" s="14" t="s">
        <v>808</v>
      </c>
      <c r="N13" s="14" t="s">
        <v>816</v>
      </c>
      <c r="O13" s="14" t="s">
        <v>817</v>
      </c>
      <c r="P13" s="14" t="s">
        <v>818</v>
      </c>
    </row>
    <row r="14" spans="1:16" ht="55.95" customHeight="1">
      <c r="A14" s="17">
        <f t="shared" si="0"/>
        <v>10</v>
      </c>
      <c r="B14" s="14" t="s">
        <v>45</v>
      </c>
      <c r="C14" s="14" t="s">
        <v>789</v>
      </c>
      <c r="D14" s="14" t="s">
        <v>790</v>
      </c>
      <c r="E14" s="15">
        <v>46234</v>
      </c>
      <c r="F14" s="15">
        <v>46266</v>
      </c>
      <c r="G14" s="16">
        <v>4</v>
      </c>
      <c r="H14" s="16">
        <v>5</v>
      </c>
      <c r="I14" s="16">
        <v>3</v>
      </c>
      <c r="J14" s="16">
        <v>5</v>
      </c>
      <c r="K14" s="16">
        <v>5</v>
      </c>
      <c r="L14" s="16">
        <f t="shared" si="1"/>
        <v>4.3499999999999996</v>
      </c>
      <c r="M14" s="14" t="s">
        <v>808</v>
      </c>
      <c r="N14" s="14" t="s">
        <v>819</v>
      </c>
      <c r="O14" s="14" t="s">
        <v>596</v>
      </c>
      <c r="P14" s="14" t="s">
        <v>820</v>
      </c>
    </row>
    <row r="15" spans="1:16" ht="55.95" customHeight="1">
      <c r="A15" s="17">
        <f t="shared" si="0"/>
        <v>11</v>
      </c>
      <c r="B15" s="14" t="s">
        <v>821</v>
      </c>
      <c r="C15" s="14" t="s">
        <v>776</v>
      </c>
      <c r="D15" s="14" t="s">
        <v>777</v>
      </c>
      <c r="E15" s="15">
        <v>46241</v>
      </c>
      <c r="F15" s="15" t="s">
        <v>822</v>
      </c>
      <c r="G15" s="16">
        <v>4.5</v>
      </c>
      <c r="H15" s="16">
        <v>5</v>
      </c>
      <c r="I15" s="16">
        <v>4.5</v>
      </c>
      <c r="J15" s="16">
        <v>4</v>
      </c>
      <c r="K15" s="16">
        <v>2.5</v>
      </c>
      <c r="L15" s="16">
        <f t="shared" si="1"/>
        <v>4.2300000000000004</v>
      </c>
      <c r="M15" s="14" t="s">
        <v>778</v>
      </c>
      <c r="N15" s="14" t="s">
        <v>823</v>
      </c>
      <c r="O15" s="14" t="s">
        <v>824</v>
      </c>
      <c r="P15" s="14" t="s">
        <v>825</v>
      </c>
    </row>
    <row r="16" spans="1:16" ht="55.95" customHeight="1">
      <c r="A16" s="17">
        <f t="shared" si="0"/>
        <v>12</v>
      </c>
      <c r="B16" s="14" t="s">
        <v>826</v>
      </c>
      <c r="C16" s="14" t="s">
        <v>776</v>
      </c>
      <c r="D16" s="14" t="s">
        <v>777</v>
      </c>
      <c r="E16" s="15">
        <v>46249</v>
      </c>
      <c r="F16" s="15">
        <v>46280</v>
      </c>
      <c r="G16" s="16">
        <v>4</v>
      </c>
      <c r="H16" s="16">
        <v>5</v>
      </c>
      <c r="I16" s="16">
        <v>3.5</v>
      </c>
      <c r="J16" s="16">
        <v>4</v>
      </c>
      <c r="K16" s="16">
        <v>4.5</v>
      </c>
      <c r="L16" s="16">
        <f t="shared" si="1"/>
        <v>4.2</v>
      </c>
      <c r="M16" s="14" t="s">
        <v>827</v>
      </c>
      <c r="N16" s="14" t="s">
        <v>828</v>
      </c>
      <c r="O16" s="14" t="s">
        <v>829</v>
      </c>
      <c r="P16" s="14" t="s">
        <v>830</v>
      </c>
    </row>
    <row r="17" spans="1:16" ht="55.95" customHeight="1">
      <c r="A17" s="17">
        <f t="shared" si="0"/>
        <v>13</v>
      </c>
      <c r="B17" s="14" t="s">
        <v>831</v>
      </c>
      <c r="C17" s="14" t="s">
        <v>776</v>
      </c>
      <c r="D17" s="14" t="s">
        <v>832</v>
      </c>
      <c r="E17" s="15">
        <v>46241</v>
      </c>
      <c r="F17" s="15">
        <v>46270</v>
      </c>
      <c r="G17" s="16">
        <v>3</v>
      </c>
      <c r="H17" s="16">
        <v>5</v>
      </c>
      <c r="I17" s="16">
        <v>4</v>
      </c>
      <c r="J17" s="16">
        <v>5</v>
      </c>
      <c r="K17" s="16">
        <v>5</v>
      </c>
      <c r="L17" s="16">
        <f t="shared" si="1"/>
        <v>4.1500000000000004</v>
      </c>
      <c r="M17" s="14" t="s">
        <v>778</v>
      </c>
      <c r="N17" s="14" t="s">
        <v>833</v>
      </c>
      <c r="O17" s="14" t="s">
        <v>834</v>
      </c>
      <c r="P17" s="14" t="s">
        <v>835</v>
      </c>
    </row>
    <row r="18" spans="1:16" ht="55.95" customHeight="1">
      <c r="A18" s="17">
        <f t="shared" si="0"/>
        <v>14</v>
      </c>
      <c r="B18" s="14" t="s">
        <v>69</v>
      </c>
      <c r="C18" s="14" t="s">
        <v>789</v>
      </c>
      <c r="D18" s="14" t="s">
        <v>790</v>
      </c>
      <c r="E18" s="15">
        <v>46249</v>
      </c>
      <c r="F18" s="15">
        <v>46285</v>
      </c>
      <c r="G18" s="16">
        <v>4</v>
      </c>
      <c r="H18" s="16">
        <v>5</v>
      </c>
      <c r="I18" s="16">
        <v>3</v>
      </c>
      <c r="J18" s="16">
        <v>3.5</v>
      </c>
      <c r="K18" s="16">
        <v>4</v>
      </c>
      <c r="L18" s="16">
        <f t="shared" si="1"/>
        <v>3.98</v>
      </c>
      <c r="M18" s="14" t="s">
        <v>812</v>
      </c>
      <c r="N18" s="14" t="s">
        <v>836</v>
      </c>
      <c r="O18" s="14" t="s">
        <v>74</v>
      </c>
      <c r="P18" s="14" t="s">
        <v>837</v>
      </c>
    </row>
    <row r="19" spans="1:16" ht="55.95" customHeight="1">
      <c r="A19" s="17">
        <f t="shared" si="0"/>
        <v>15</v>
      </c>
      <c r="B19" s="14" t="s">
        <v>838</v>
      </c>
      <c r="C19" s="14" t="s">
        <v>776</v>
      </c>
      <c r="D19" s="14" t="s">
        <v>796</v>
      </c>
      <c r="E19" s="15">
        <v>46227</v>
      </c>
      <c r="F19" s="15">
        <v>46249</v>
      </c>
      <c r="G19" s="16">
        <v>3</v>
      </c>
      <c r="H19" s="16">
        <v>4</v>
      </c>
      <c r="I19" s="16">
        <v>4</v>
      </c>
      <c r="J19" s="16">
        <v>5</v>
      </c>
      <c r="K19" s="16">
        <v>5</v>
      </c>
      <c r="L19" s="16">
        <f t="shared" si="1"/>
        <v>3.95</v>
      </c>
      <c r="M19" s="14" t="s">
        <v>839</v>
      </c>
      <c r="N19" s="14" t="s">
        <v>840</v>
      </c>
      <c r="O19" s="14" t="s">
        <v>381</v>
      </c>
      <c r="P19" s="14" t="s">
        <v>841</v>
      </c>
    </row>
    <row r="20" spans="1:16" ht="55.95" customHeight="1">
      <c r="A20" s="17">
        <f t="shared" si="0"/>
        <v>16</v>
      </c>
      <c r="B20" s="14" t="s">
        <v>76</v>
      </c>
      <c r="C20" s="14" t="s">
        <v>789</v>
      </c>
      <c r="D20" s="14" t="s">
        <v>78</v>
      </c>
      <c r="E20" s="15">
        <v>46251</v>
      </c>
      <c r="F20" s="15">
        <v>46284</v>
      </c>
      <c r="G20" s="16">
        <v>3.5</v>
      </c>
      <c r="H20" s="16">
        <v>5</v>
      </c>
      <c r="I20" s="16">
        <v>3</v>
      </c>
      <c r="J20" s="16">
        <v>3.5</v>
      </c>
      <c r="K20" s="16">
        <v>4</v>
      </c>
      <c r="L20" s="16">
        <f t="shared" si="1"/>
        <v>3.8</v>
      </c>
      <c r="M20" s="14" t="s">
        <v>842</v>
      </c>
      <c r="N20" s="14" t="s">
        <v>843</v>
      </c>
      <c r="O20" s="14" t="s">
        <v>80</v>
      </c>
      <c r="P20" s="14" t="s">
        <v>844</v>
      </c>
    </row>
    <row r="21" spans="1:16" ht="55.95" customHeight="1">
      <c r="A21" s="17">
        <f t="shared" si="0"/>
        <v>17</v>
      </c>
      <c r="B21" s="14" t="s">
        <v>133</v>
      </c>
      <c r="C21" s="14" t="s">
        <v>789</v>
      </c>
      <c r="D21" s="14" t="s">
        <v>790</v>
      </c>
      <c r="E21" s="15">
        <v>46255</v>
      </c>
      <c r="F21" s="15">
        <v>46319</v>
      </c>
      <c r="G21" s="16">
        <v>4</v>
      </c>
      <c r="H21" s="16">
        <v>5</v>
      </c>
      <c r="I21" s="16">
        <v>1.5</v>
      </c>
      <c r="J21" s="16">
        <v>2</v>
      </c>
      <c r="K21" s="16">
        <v>2.5</v>
      </c>
      <c r="L21" s="16">
        <f t="shared" si="1"/>
        <v>3.3</v>
      </c>
      <c r="M21" s="14" t="s">
        <v>842</v>
      </c>
      <c r="N21" s="14" t="s">
        <v>845</v>
      </c>
      <c r="O21" s="14" t="s">
        <v>137</v>
      </c>
      <c r="P21" s="14" t="s">
        <v>846</v>
      </c>
    </row>
  </sheetData>
  <mergeCells count="2">
    <mergeCell ref="A1:P1"/>
    <mergeCell ref="A2:P2"/>
  </mergeCells>
  <conditionalFormatting sqref="E5:E21">
    <cfRule type="expression" dxfId="6" priority="2">
      <formula>E5&lt;=DATE(2026,7,31)</formula>
    </cfRule>
  </conditionalFormatting>
  <conditionalFormatting sqref="G5:L2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M5:M21">
    <cfRule type="expression" dxfId="5" priority="3">
      <formula>ISNUMBER(SEARCH("today",M5))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1"/>
  <sheetViews>
    <sheetView tabSelected="1" workbookViewId="0">
      <selection activeCell="H5" sqref="H5"/>
    </sheetView>
  </sheetViews>
  <sheetFormatPr defaultRowHeight="13.8"/>
  <cols>
    <col min="1" max="1" width="26" customWidth="1"/>
    <col min="2" max="2" width="22" customWidth="1"/>
    <col min="3" max="4" width="13" customWidth="1"/>
    <col min="5" max="5" width="38" customWidth="1"/>
    <col min="6" max="6" width="18" customWidth="1"/>
    <col min="7" max="7" width="55" customWidth="1"/>
    <col min="8" max="8" width="45" customWidth="1"/>
    <col min="9" max="9" width="29.69921875" customWidth="1"/>
  </cols>
  <sheetData>
    <row r="1" spans="1:9" ht="22.35" customHeight="1">
      <c r="A1" s="21" t="s">
        <v>847</v>
      </c>
      <c r="B1" s="21"/>
      <c r="C1" s="21"/>
      <c r="D1" s="21"/>
      <c r="E1" s="21"/>
      <c r="F1" s="21"/>
      <c r="G1" s="21"/>
      <c r="H1" s="21"/>
    </row>
    <row r="2" spans="1:9" ht="27.15" customHeight="1">
      <c r="A2" s="22" t="s">
        <v>848</v>
      </c>
      <c r="B2" s="22"/>
      <c r="C2" s="22"/>
      <c r="D2" s="22"/>
      <c r="E2" s="22"/>
      <c r="F2" s="22"/>
      <c r="G2" s="22"/>
      <c r="H2" s="22"/>
    </row>
    <row r="4" spans="1:9" ht="25.65" customHeight="1">
      <c r="A4" s="13" t="s">
        <v>849</v>
      </c>
      <c r="B4" s="13" t="s">
        <v>850</v>
      </c>
      <c r="C4" s="13" t="s">
        <v>766</v>
      </c>
      <c r="D4" s="13" t="s">
        <v>767</v>
      </c>
      <c r="E4" s="13" t="s">
        <v>851</v>
      </c>
      <c r="F4" s="13" t="s">
        <v>852</v>
      </c>
      <c r="G4" s="13" t="s">
        <v>853</v>
      </c>
      <c r="H4" s="13" t="s">
        <v>854</v>
      </c>
      <c r="I4" t="s">
        <v>1117</v>
      </c>
    </row>
    <row r="5" spans="1:9" ht="44.85" customHeight="1">
      <c r="A5" s="23" t="s">
        <v>18</v>
      </c>
      <c r="B5" s="14" t="s">
        <v>855</v>
      </c>
      <c r="C5" s="15">
        <v>46230</v>
      </c>
      <c r="D5" s="15">
        <v>46266</v>
      </c>
      <c r="E5" s="14" t="s">
        <v>856</v>
      </c>
      <c r="F5" s="14" t="s">
        <v>588</v>
      </c>
      <c r="G5" s="14" t="s">
        <v>857</v>
      </c>
      <c r="H5" s="14" t="s">
        <v>25</v>
      </c>
    </row>
    <row r="6" spans="1:9" ht="44.85" customHeight="1">
      <c r="A6" s="24" t="s">
        <v>459</v>
      </c>
      <c r="B6" s="14" t="s">
        <v>855</v>
      </c>
      <c r="C6" s="15">
        <v>46241</v>
      </c>
      <c r="D6" s="15">
        <v>46272</v>
      </c>
      <c r="E6" s="14" t="s">
        <v>858</v>
      </c>
      <c r="F6" s="14" t="s">
        <v>588</v>
      </c>
      <c r="G6" s="14" t="s">
        <v>859</v>
      </c>
      <c r="H6" s="14" t="s">
        <v>793</v>
      </c>
    </row>
    <row r="7" spans="1:9" ht="44.85" customHeight="1">
      <c r="A7" s="24" t="s">
        <v>45</v>
      </c>
      <c r="B7" s="14" t="s">
        <v>855</v>
      </c>
      <c r="C7" s="15">
        <v>46234</v>
      </c>
      <c r="D7" s="15">
        <v>46266</v>
      </c>
      <c r="E7" s="14" t="s">
        <v>860</v>
      </c>
      <c r="F7" s="14" t="s">
        <v>588</v>
      </c>
      <c r="G7" s="14" t="s">
        <v>861</v>
      </c>
      <c r="H7" s="14" t="s">
        <v>596</v>
      </c>
    </row>
    <row r="8" spans="1:9" ht="44.85" customHeight="1">
      <c r="A8" s="26" t="s">
        <v>69</v>
      </c>
      <c r="B8" s="14" t="s">
        <v>855</v>
      </c>
      <c r="C8" s="15">
        <v>46249</v>
      </c>
      <c r="D8" s="15">
        <v>46285</v>
      </c>
      <c r="E8" s="14" t="s">
        <v>862</v>
      </c>
      <c r="F8" s="14" t="s">
        <v>588</v>
      </c>
      <c r="G8" s="14" t="s">
        <v>863</v>
      </c>
      <c r="H8" s="14" t="s">
        <v>74</v>
      </c>
    </row>
    <row r="9" spans="1:9" ht="44.85" customHeight="1">
      <c r="A9" s="24" t="s">
        <v>28</v>
      </c>
      <c r="B9" s="14" t="s">
        <v>864</v>
      </c>
      <c r="C9" s="15">
        <v>46243</v>
      </c>
      <c r="D9" s="15">
        <v>46257</v>
      </c>
      <c r="E9" s="14" t="s">
        <v>865</v>
      </c>
      <c r="F9" s="14" t="s">
        <v>866</v>
      </c>
      <c r="G9" s="14" t="s">
        <v>867</v>
      </c>
      <c r="H9" s="14" t="s">
        <v>33</v>
      </c>
    </row>
    <row r="10" spans="1:9" ht="44.85" customHeight="1">
      <c r="A10" s="23" t="s">
        <v>36</v>
      </c>
      <c r="B10" s="14" t="s">
        <v>864</v>
      </c>
      <c r="C10" s="15">
        <v>46233</v>
      </c>
      <c r="D10" s="15">
        <v>46244</v>
      </c>
      <c r="E10" s="14" t="s">
        <v>868</v>
      </c>
      <c r="F10" s="14" t="s">
        <v>866</v>
      </c>
      <c r="G10" s="14" t="s">
        <v>869</v>
      </c>
      <c r="H10" s="14" t="s">
        <v>43</v>
      </c>
    </row>
    <row r="11" spans="1:9" ht="44.85" customHeight="1">
      <c r="A11" s="24" t="s">
        <v>475</v>
      </c>
      <c r="B11" s="14" t="s">
        <v>855</v>
      </c>
      <c r="C11" s="15">
        <v>46241</v>
      </c>
      <c r="D11" s="15" t="s">
        <v>822</v>
      </c>
      <c r="E11" s="14" t="s">
        <v>870</v>
      </c>
      <c r="F11" s="14" t="s">
        <v>588</v>
      </c>
      <c r="G11" s="14" t="s">
        <v>871</v>
      </c>
      <c r="H11" s="14" t="s">
        <v>824</v>
      </c>
    </row>
    <row r="12" spans="1:9" ht="44.85" customHeight="1">
      <c r="A12" s="24" t="s">
        <v>479</v>
      </c>
      <c r="B12" s="14" t="s">
        <v>855</v>
      </c>
      <c r="C12" s="15">
        <v>46249</v>
      </c>
      <c r="D12" s="15">
        <v>46285</v>
      </c>
      <c r="E12" s="14" t="s">
        <v>862</v>
      </c>
      <c r="F12" s="14" t="s">
        <v>588</v>
      </c>
      <c r="G12" s="14" t="s">
        <v>872</v>
      </c>
      <c r="H12" s="14" t="s">
        <v>480</v>
      </c>
    </row>
    <row r="13" spans="1:9" ht="44.85" customHeight="1">
      <c r="A13" s="27" t="s">
        <v>102</v>
      </c>
      <c r="B13" s="14" t="s">
        <v>864</v>
      </c>
      <c r="C13" s="15">
        <v>46234</v>
      </c>
      <c r="D13" s="15">
        <v>46264</v>
      </c>
      <c r="E13" s="14" t="s">
        <v>873</v>
      </c>
      <c r="F13" s="14" t="s">
        <v>866</v>
      </c>
      <c r="G13" s="14" t="s">
        <v>874</v>
      </c>
      <c r="H13" s="14" t="s">
        <v>875</v>
      </c>
    </row>
    <row r="14" spans="1:9" ht="44.85" customHeight="1">
      <c r="A14" s="24" t="s">
        <v>61</v>
      </c>
      <c r="B14" s="14" t="s">
        <v>864</v>
      </c>
      <c r="C14" s="15">
        <v>46244</v>
      </c>
      <c r="D14" s="15">
        <v>46275</v>
      </c>
      <c r="E14" s="14" t="s">
        <v>876</v>
      </c>
      <c r="F14" s="14" t="s">
        <v>866</v>
      </c>
      <c r="G14" s="14" t="s">
        <v>877</v>
      </c>
      <c r="H14" s="14" t="s">
        <v>66</v>
      </c>
    </row>
    <row r="15" spans="1:9" ht="44.85" customHeight="1">
      <c r="A15" s="30" t="s">
        <v>54</v>
      </c>
      <c r="B15" s="14" t="s">
        <v>878</v>
      </c>
      <c r="C15" s="15"/>
      <c r="D15" s="15"/>
      <c r="E15" s="14" t="s">
        <v>879</v>
      </c>
      <c r="F15" s="14" t="s">
        <v>646</v>
      </c>
      <c r="G15" s="14" t="s">
        <v>880</v>
      </c>
      <c r="H15" s="14" t="s">
        <v>881</v>
      </c>
    </row>
    <row r="16" spans="1:9" ht="44.85" customHeight="1">
      <c r="A16" s="24" t="s">
        <v>490</v>
      </c>
      <c r="B16" s="14" t="s">
        <v>878</v>
      </c>
      <c r="C16" s="15">
        <v>46280</v>
      </c>
      <c r="D16" s="15"/>
      <c r="E16" s="14" t="s">
        <v>882</v>
      </c>
      <c r="F16" s="14" t="s">
        <v>646</v>
      </c>
      <c r="G16" s="14" t="s">
        <v>883</v>
      </c>
      <c r="H16" s="14" t="s">
        <v>884</v>
      </c>
    </row>
    <row r="17" spans="1:9" ht="44.85" customHeight="1">
      <c r="A17" s="14" t="s">
        <v>493</v>
      </c>
      <c r="B17" s="14" t="s">
        <v>878</v>
      </c>
      <c r="C17" s="15">
        <v>46280</v>
      </c>
      <c r="D17" s="15"/>
      <c r="E17" s="14" t="s">
        <v>885</v>
      </c>
      <c r="F17" s="14" t="s">
        <v>646</v>
      </c>
      <c r="G17" s="14" t="s">
        <v>883</v>
      </c>
      <c r="H17" s="14" t="s">
        <v>886</v>
      </c>
    </row>
    <row r="18" spans="1:9" ht="44.85" customHeight="1">
      <c r="A18" s="14" t="s">
        <v>887</v>
      </c>
      <c r="B18" s="14" t="s">
        <v>878</v>
      </c>
      <c r="C18" s="15"/>
      <c r="D18" s="15"/>
      <c r="E18" s="14" t="s">
        <v>888</v>
      </c>
      <c r="F18" s="14" t="s">
        <v>646</v>
      </c>
      <c r="G18" s="14" t="s">
        <v>889</v>
      </c>
      <c r="H18" s="14" t="s">
        <v>890</v>
      </c>
      <c r="I18" t="s">
        <v>1116</v>
      </c>
    </row>
    <row r="19" spans="1:9" ht="44.85" customHeight="1">
      <c r="A19" s="14" t="s">
        <v>891</v>
      </c>
      <c r="B19" s="14" t="s">
        <v>878</v>
      </c>
      <c r="C19" s="15"/>
      <c r="D19" s="15"/>
      <c r="E19" s="14" t="s">
        <v>888</v>
      </c>
      <c r="F19" s="14" t="s">
        <v>646</v>
      </c>
      <c r="G19" s="14" t="s">
        <v>889</v>
      </c>
      <c r="H19" s="14" t="s">
        <v>892</v>
      </c>
      <c r="I19" s="3" t="s">
        <v>1118</v>
      </c>
    </row>
    <row r="20" spans="1:9" ht="44.85" customHeight="1">
      <c r="A20" s="24" t="s">
        <v>133</v>
      </c>
      <c r="B20" s="14" t="s">
        <v>855</v>
      </c>
      <c r="C20" s="15">
        <v>46255</v>
      </c>
      <c r="D20" s="15">
        <v>46319</v>
      </c>
      <c r="E20" s="14" t="s">
        <v>893</v>
      </c>
      <c r="F20" s="14" t="s">
        <v>588</v>
      </c>
      <c r="G20" s="14" t="s">
        <v>894</v>
      </c>
      <c r="H20" s="14" t="s">
        <v>137</v>
      </c>
    </row>
    <row r="21" spans="1:9" ht="44.85" customHeight="1">
      <c r="A21" s="28" t="s">
        <v>76</v>
      </c>
      <c r="B21" s="14" t="s">
        <v>855</v>
      </c>
      <c r="C21" s="15">
        <v>46251</v>
      </c>
      <c r="D21" s="15">
        <v>46284</v>
      </c>
      <c r="E21" s="14" t="s">
        <v>895</v>
      </c>
      <c r="F21" s="14" t="s">
        <v>588</v>
      </c>
      <c r="G21" s="14" t="s">
        <v>896</v>
      </c>
      <c r="H21" s="14" t="s">
        <v>80</v>
      </c>
    </row>
    <row r="22" spans="1:9" ht="44.85" customHeight="1">
      <c r="A22" s="24" t="s">
        <v>897</v>
      </c>
      <c r="B22" s="14" t="s">
        <v>864</v>
      </c>
      <c r="C22" s="15">
        <v>46264</v>
      </c>
      <c r="D22" s="15">
        <v>46295</v>
      </c>
      <c r="E22" s="14" t="s">
        <v>898</v>
      </c>
      <c r="F22" s="14" t="s">
        <v>866</v>
      </c>
      <c r="G22" s="14" t="s">
        <v>899</v>
      </c>
      <c r="H22" s="14" t="s">
        <v>900</v>
      </c>
    </row>
    <row r="23" spans="1:9" ht="44.85" customHeight="1">
      <c r="A23" s="29" t="s">
        <v>88</v>
      </c>
      <c r="B23" s="14" t="s">
        <v>864</v>
      </c>
      <c r="C23" s="15">
        <v>46227</v>
      </c>
      <c r="D23" s="15">
        <v>46255</v>
      </c>
      <c r="E23" s="14" t="s">
        <v>901</v>
      </c>
      <c r="F23" s="14" t="s">
        <v>866</v>
      </c>
      <c r="G23" s="14" t="s">
        <v>902</v>
      </c>
      <c r="H23" s="14" t="s">
        <v>94</v>
      </c>
    </row>
    <row r="24" spans="1:9" ht="44.85" customHeight="1">
      <c r="A24" s="23" t="s">
        <v>96</v>
      </c>
      <c r="B24" s="14" t="s">
        <v>864</v>
      </c>
      <c r="C24" s="15">
        <v>46242</v>
      </c>
      <c r="D24" s="15">
        <v>46296</v>
      </c>
      <c r="E24" s="14" t="s">
        <v>903</v>
      </c>
      <c r="F24" s="14" t="s">
        <v>866</v>
      </c>
      <c r="G24" s="14" t="s">
        <v>904</v>
      </c>
      <c r="H24" s="14" t="s">
        <v>905</v>
      </c>
    </row>
    <row r="25" spans="1:9" ht="44.85" customHeight="1">
      <c r="A25" s="29" t="s">
        <v>517</v>
      </c>
      <c r="B25" s="14" t="s">
        <v>878</v>
      </c>
      <c r="C25" s="15"/>
      <c r="D25" s="15"/>
      <c r="E25" s="14" t="s">
        <v>906</v>
      </c>
      <c r="F25" s="14" t="s">
        <v>646</v>
      </c>
      <c r="G25" s="14" t="s">
        <v>907</v>
      </c>
      <c r="H25" s="14" t="s">
        <v>908</v>
      </c>
    </row>
    <row r="26" spans="1:9" ht="44.85" customHeight="1">
      <c r="A26" s="31" t="s">
        <v>118</v>
      </c>
      <c r="B26" s="14" t="s">
        <v>878</v>
      </c>
      <c r="C26" s="15">
        <v>46241</v>
      </c>
      <c r="D26" s="15"/>
      <c r="E26" s="14" t="s">
        <v>909</v>
      </c>
      <c r="F26" s="14" t="s">
        <v>646</v>
      </c>
      <c r="G26" s="14" t="s">
        <v>910</v>
      </c>
      <c r="H26" s="14" t="s">
        <v>911</v>
      </c>
    </row>
    <row r="27" spans="1:9" ht="44.85" customHeight="1">
      <c r="A27" s="23" t="s">
        <v>126</v>
      </c>
      <c r="B27" s="14" t="s">
        <v>878</v>
      </c>
      <c r="C27" s="15"/>
      <c r="D27" s="15"/>
      <c r="E27" s="14" t="s">
        <v>912</v>
      </c>
      <c r="F27" s="14" t="s">
        <v>646</v>
      </c>
      <c r="G27" s="14" t="s">
        <v>913</v>
      </c>
      <c r="H27" s="32" t="s">
        <v>1119</v>
      </c>
    </row>
    <row r="28" spans="1:9" ht="44.85" customHeight="1">
      <c r="A28" s="31" t="s">
        <v>140</v>
      </c>
      <c r="B28" s="14" t="s">
        <v>878</v>
      </c>
      <c r="C28" s="15"/>
      <c r="D28" s="15"/>
      <c r="E28" s="14" t="s">
        <v>914</v>
      </c>
      <c r="F28" s="14" t="s">
        <v>646</v>
      </c>
      <c r="G28" s="14" t="s">
        <v>915</v>
      </c>
      <c r="H28" s="14" t="s">
        <v>916</v>
      </c>
    </row>
    <row r="29" spans="1:9" ht="44.85" customHeight="1">
      <c r="A29" s="25" t="s">
        <v>146</v>
      </c>
      <c r="B29" s="14" t="s">
        <v>878</v>
      </c>
      <c r="C29" s="15"/>
      <c r="D29" s="15"/>
      <c r="E29" s="14" t="s">
        <v>917</v>
      </c>
      <c r="F29" s="14" t="s">
        <v>646</v>
      </c>
      <c r="G29" s="14" t="s">
        <v>918</v>
      </c>
      <c r="H29" s="32" t="s">
        <v>153</v>
      </c>
    </row>
    <row r="30" spans="1:9" ht="44.85" customHeight="1">
      <c r="A30" s="33" t="s">
        <v>919</v>
      </c>
      <c r="B30" s="14" t="s">
        <v>878</v>
      </c>
      <c r="C30" s="15"/>
      <c r="D30" s="15"/>
      <c r="E30" s="14" t="s">
        <v>920</v>
      </c>
      <c r="F30" s="14" t="s">
        <v>646</v>
      </c>
      <c r="G30" s="14" t="s">
        <v>921</v>
      </c>
      <c r="H30" s="14"/>
    </row>
    <row r="31" spans="1:9" ht="44.85" customHeight="1">
      <c r="A31" s="24" t="s">
        <v>922</v>
      </c>
      <c r="B31" s="14" t="s">
        <v>855</v>
      </c>
      <c r="C31" s="15">
        <v>46227</v>
      </c>
      <c r="D31" s="15">
        <v>46255</v>
      </c>
      <c r="E31" s="14" t="s">
        <v>923</v>
      </c>
      <c r="F31" s="14" t="s">
        <v>588</v>
      </c>
      <c r="G31" s="14" t="s">
        <v>924</v>
      </c>
      <c r="H31" s="14" t="s">
        <v>354</v>
      </c>
    </row>
  </sheetData>
  <mergeCells count="2">
    <mergeCell ref="A1:H1"/>
    <mergeCell ref="A2:H2"/>
  </mergeCells>
  <conditionalFormatting sqref="F5:F31">
    <cfRule type="expression" dxfId="4" priority="1">
      <formula>F5="PASS"</formula>
    </cfRule>
    <cfRule type="expression" dxfId="3" priority="2">
      <formula>F5="CONDITIONAL"</formula>
    </cfRule>
    <cfRule type="expression" dxfId="2" priority="3">
      <formula>F5="FAIL"</formula>
    </cfRule>
  </conditionalFormatting>
  <hyperlinks>
    <hyperlink ref="H27" r:id="rId1" xr:uid="{BAEF008C-83E7-4AAD-A2E2-6F2C835428DC}"/>
    <hyperlink ref="H29" r:id="rId2" xr:uid="{C3C7B34C-278B-4CB2-9F75-96F1B987BE71}"/>
  </hyperlinks>
  <pageMargins left="0.7" right="0.7" top="0.75" bottom="0.75" header="0.3" footer="0.3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3"/>
  <sheetViews>
    <sheetView workbookViewId="0">
      <selection sqref="A1:I1"/>
    </sheetView>
  </sheetViews>
  <sheetFormatPr defaultRowHeight="13.8"/>
  <cols>
    <col min="1" max="1" width="31" customWidth="1"/>
    <col min="2" max="2" width="28" customWidth="1"/>
    <col min="3" max="4" width="13" customWidth="1"/>
    <col min="5" max="6" width="12" customWidth="1"/>
    <col min="7" max="7" width="58" customWidth="1"/>
    <col min="8" max="8" width="52" customWidth="1"/>
    <col min="9" max="9" width="45" customWidth="1"/>
  </cols>
  <sheetData>
    <row r="1" spans="1:9" ht="22.35" customHeight="1">
      <c r="A1" s="21" t="s">
        <v>925</v>
      </c>
      <c r="B1" s="21"/>
      <c r="C1" s="21"/>
      <c r="D1" s="21"/>
      <c r="E1" s="21"/>
      <c r="F1" s="21"/>
      <c r="G1" s="21"/>
      <c r="H1" s="21"/>
      <c r="I1" s="21"/>
    </row>
    <row r="2" spans="1:9" ht="27.15" customHeight="1">
      <c r="A2" s="22" t="s">
        <v>926</v>
      </c>
      <c r="B2" s="22"/>
      <c r="C2" s="22"/>
      <c r="D2" s="22"/>
      <c r="E2" s="22"/>
      <c r="F2" s="22"/>
      <c r="G2" s="22"/>
      <c r="H2" s="22"/>
      <c r="I2" s="22"/>
    </row>
    <row r="4" spans="1:9" ht="25.65" customHeight="1">
      <c r="A4" s="13" t="s">
        <v>0</v>
      </c>
      <c r="B4" s="13" t="s">
        <v>927</v>
      </c>
      <c r="C4" s="13" t="s">
        <v>766</v>
      </c>
      <c r="D4" s="13" t="s">
        <v>767</v>
      </c>
      <c r="E4" s="13" t="s">
        <v>928</v>
      </c>
      <c r="F4" s="13" t="s">
        <v>9</v>
      </c>
      <c r="G4" s="13" t="s">
        <v>929</v>
      </c>
      <c r="H4" s="13" t="s">
        <v>930</v>
      </c>
      <c r="I4" s="13" t="s">
        <v>854</v>
      </c>
    </row>
    <row r="5" spans="1:9" ht="49.65" customHeight="1">
      <c r="A5" s="14" t="s">
        <v>36</v>
      </c>
      <c r="B5" s="14" t="s">
        <v>292</v>
      </c>
      <c r="C5" s="15">
        <v>46233</v>
      </c>
      <c r="D5" s="15">
        <v>46244</v>
      </c>
      <c r="E5" s="16">
        <v>5</v>
      </c>
      <c r="F5" s="16">
        <v>2.5</v>
      </c>
      <c r="G5" s="14" t="s">
        <v>931</v>
      </c>
      <c r="H5" s="14" t="s">
        <v>932</v>
      </c>
      <c r="I5" s="14" t="s">
        <v>43</v>
      </c>
    </row>
    <row r="6" spans="1:9" ht="49.65" customHeight="1">
      <c r="A6" s="14" t="s">
        <v>933</v>
      </c>
      <c r="B6" s="14" t="s">
        <v>934</v>
      </c>
      <c r="C6" s="15">
        <v>46227</v>
      </c>
      <c r="D6" s="15">
        <v>46248</v>
      </c>
      <c r="E6" s="16">
        <v>4.5</v>
      </c>
      <c r="F6" s="16">
        <v>3.5</v>
      </c>
      <c r="G6" s="14" t="s">
        <v>935</v>
      </c>
      <c r="H6" s="14" t="s">
        <v>936</v>
      </c>
      <c r="I6" s="14" t="s">
        <v>176</v>
      </c>
    </row>
    <row r="7" spans="1:9" ht="49.65" customHeight="1">
      <c r="A7" s="14" t="s">
        <v>937</v>
      </c>
      <c r="B7" s="14" t="s">
        <v>934</v>
      </c>
      <c r="C7" s="15">
        <v>46227</v>
      </c>
      <c r="D7" s="15">
        <v>46248</v>
      </c>
      <c r="E7" s="16">
        <v>3</v>
      </c>
      <c r="F7" s="16">
        <v>4</v>
      </c>
      <c r="G7" s="14" t="s">
        <v>938</v>
      </c>
      <c r="H7" s="14" t="s">
        <v>939</v>
      </c>
      <c r="I7" s="14" t="s">
        <v>940</v>
      </c>
    </row>
    <row r="8" spans="1:9" ht="49.65" customHeight="1">
      <c r="A8" s="14" t="s">
        <v>941</v>
      </c>
      <c r="B8" s="14" t="s">
        <v>942</v>
      </c>
      <c r="C8" s="15">
        <v>46227</v>
      </c>
      <c r="D8" s="15">
        <v>46255</v>
      </c>
      <c r="E8" s="16">
        <v>3.5</v>
      </c>
      <c r="F8" s="16">
        <v>3</v>
      </c>
      <c r="G8" s="14" t="s">
        <v>943</v>
      </c>
      <c r="H8" s="14" t="s">
        <v>944</v>
      </c>
      <c r="I8" s="14" t="s">
        <v>94</v>
      </c>
    </row>
    <row r="9" spans="1:9" ht="49.65" customHeight="1">
      <c r="A9" s="14" t="s">
        <v>945</v>
      </c>
      <c r="B9" s="14" t="s">
        <v>946</v>
      </c>
      <c r="C9" s="15">
        <v>46234</v>
      </c>
      <c r="D9" s="15">
        <v>46265</v>
      </c>
      <c r="E9" s="16">
        <v>3.5</v>
      </c>
      <c r="F9" s="16">
        <v>3.5</v>
      </c>
      <c r="G9" s="14" t="s">
        <v>947</v>
      </c>
      <c r="H9" s="14" t="s">
        <v>948</v>
      </c>
      <c r="I9" s="14" t="s">
        <v>433</v>
      </c>
    </row>
    <row r="10" spans="1:9" ht="49.65" customHeight="1">
      <c r="A10" s="14" t="s">
        <v>949</v>
      </c>
      <c r="B10" s="14" t="s">
        <v>950</v>
      </c>
      <c r="C10" s="15">
        <v>46242</v>
      </c>
      <c r="D10" s="15">
        <v>46302</v>
      </c>
      <c r="E10" s="16">
        <v>5</v>
      </c>
      <c r="F10" s="16">
        <v>4</v>
      </c>
      <c r="G10" s="14" t="s">
        <v>951</v>
      </c>
      <c r="H10" s="14" t="s">
        <v>952</v>
      </c>
      <c r="I10" s="14" t="s">
        <v>953</v>
      </c>
    </row>
    <row r="11" spans="1:9" ht="49.65" customHeight="1">
      <c r="A11" s="14" t="s">
        <v>61</v>
      </c>
      <c r="B11" s="14" t="s">
        <v>954</v>
      </c>
      <c r="C11" s="15">
        <v>46244</v>
      </c>
      <c r="D11" s="15">
        <v>46275</v>
      </c>
      <c r="E11" s="16">
        <v>3</v>
      </c>
      <c r="F11" s="16">
        <v>2.5</v>
      </c>
      <c r="G11" s="14" t="s">
        <v>955</v>
      </c>
      <c r="H11" s="14" t="s">
        <v>956</v>
      </c>
      <c r="I11" s="14" t="s">
        <v>66</v>
      </c>
    </row>
    <row r="12" spans="1:9" ht="49.65" customHeight="1">
      <c r="A12" s="14" t="s">
        <v>28</v>
      </c>
      <c r="B12" s="14" t="s">
        <v>957</v>
      </c>
      <c r="C12" s="15">
        <v>46243</v>
      </c>
      <c r="D12" s="15">
        <v>46257</v>
      </c>
      <c r="E12" s="16">
        <v>3</v>
      </c>
      <c r="F12" s="16">
        <v>3</v>
      </c>
      <c r="G12" s="14" t="s">
        <v>958</v>
      </c>
      <c r="H12" s="14" t="s">
        <v>959</v>
      </c>
      <c r="I12" s="14" t="s">
        <v>33</v>
      </c>
    </row>
    <row r="13" spans="1:9" ht="49.65" customHeight="1">
      <c r="A13" s="14" t="s">
        <v>102</v>
      </c>
      <c r="B13" s="14" t="s">
        <v>960</v>
      </c>
      <c r="C13" s="15">
        <v>46234</v>
      </c>
      <c r="D13" s="15">
        <v>46264</v>
      </c>
      <c r="E13" s="16">
        <v>2.5</v>
      </c>
      <c r="F13" s="16">
        <v>2</v>
      </c>
      <c r="G13" s="14" t="s">
        <v>961</v>
      </c>
      <c r="H13" s="14" t="s">
        <v>962</v>
      </c>
      <c r="I13" s="14" t="s">
        <v>875</v>
      </c>
    </row>
    <row r="14" spans="1:9" ht="49.65" customHeight="1">
      <c r="A14" s="14" t="s">
        <v>897</v>
      </c>
      <c r="B14" s="14" t="s">
        <v>963</v>
      </c>
      <c r="C14" s="15">
        <v>46264</v>
      </c>
      <c r="D14" s="15">
        <v>46295</v>
      </c>
      <c r="E14" s="16">
        <v>2.5</v>
      </c>
      <c r="F14" s="16">
        <v>2.5</v>
      </c>
      <c r="G14" s="14" t="s">
        <v>964</v>
      </c>
      <c r="H14" s="14" t="s">
        <v>965</v>
      </c>
      <c r="I14" s="14" t="s">
        <v>900</v>
      </c>
    </row>
    <row r="15" spans="1:9" ht="49.65" customHeight="1">
      <c r="A15" s="14" t="s">
        <v>96</v>
      </c>
      <c r="B15" s="14" t="s">
        <v>966</v>
      </c>
      <c r="C15" s="15">
        <v>46242</v>
      </c>
      <c r="D15" s="15">
        <v>46296</v>
      </c>
      <c r="E15" s="16">
        <v>3</v>
      </c>
      <c r="F15" s="16">
        <v>3</v>
      </c>
      <c r="G15" s="14" t="s">
        <v>967</v>
      </c>
      <c r="H15" s="14" t="s">
        <v>968</v>
      </c>
      <c r="I15" s="14" t="s">
        <v>905</v>
      </c>
    </row>
    <row r="16" spans="1:9" ht="49.65" customHeight="1">
      <c r="A16" s="14" t="s">
        <v>969</v>
      </c>
      <c r="B16" s="14" t="s">
        <v>970</v>
      </c>
      <c r="C16" s="15">
        <v>46254</v>
      </c>
      <c r="D16" s="15">
        <v>46265</v>
      </c>
      <c r="E16" s="16">
        <v>3.5</v>
      </c>
      <c r="F16" s="16">
        <v>5</v>
      </c>
      <c r="G16" s="14" t="s">
        <v>971</v>
      </c>
      <c r="H16" s="14" t="s">
        <v>972</v>
      </c>
      <c r="I16" s="14" t="s">
        <v>973</v>
      </c>
    </row>
    <row r="17" spans="1:9" ht="49.65" customHeight="1">
      <c r="A17" s="14" t="s">
        <v>974</v>
      </c>
      <c r="B17" s="14" t="s">
        <v>975</v>
      </c>
      <c r="C17" s="15">
        <v>46249</v>
      </c>
      <c r="D17" s="15">
        <v>46266</v>
      </c>
      <c r="E17" s="16">
        <v>3.5</v>
      </c>
      <c r="F17" s="16">
        <v>3.5</v>
      </c>
      <c r="G17" s="14" t="s">
        <v>976</v>
      </c>
      <c r="H17" s="14" t="s">
        <v>977</v>
      </c>
      <c r="I17" s="14" t="s">
        <v>978</v>
      </c>
    </row>
    <row r="18" spans="1:9" ht="49.65" customHeight="1">
      <c r="A18" s="14" t="s">
        <v>979</v>
      </c>
      <c r="B18" s="14" t="s">
        <v>980</v>
      </c>
      <c r="C18" s="15">
        <v>46239</v>
      </c>
      <c r="D18" s="15">
        <v>46266</v>
      </c>
      <c r="E18" s="16">
        <v>4.5</v>
      </c>
      <c r="F18" s="16">
        <v>5</v>
      </c>
      <c r="G18" s="14" t="s">
        <v>981</v>
      </c>
      <c r="H18" s="14" t="s">
        <v>982</v>
      </c>
      <c r="I18" s="14" t="s">
        <v>983</v>
      </c>
    </row>
    <row r="19" spans="1:9" ht="49.65" customHeight="1">
      <c r="A19" s="14" t="s">
        <v>984</v>
      </c>
      <c r="B19" s="14" t="s">
        <v>985</v>
      </c>
      <c r="C19" s="15">
        <v>46262</v>
      </c>
      <c r="D19" s="15">
        <v>46278</v>
      </c>
      <c r="E19" s="16">
        <v>3.5</v>
      </c>
      <c r="F19" s="16">
        <v>5</v>
      </c>
      <c r="G19" s="14" t="s">
        <v>986</v>
      </c>
      <c r="H19" s="14" t="s">
        <v>987</v>
      </c>
      <c r="I19" s="14" t="s">
        <v>988</v>
      </c>
    </row>
    <row r="20" spans="1:9" ht="49.65" customHeight="1">
      <c r="A20" s="14" t="s">
        <v>989</v>
      </c>
      <c r="B20" s="14" t="s">
        <v>990</v>
      </c>
      <c r="C20" s="15">
        <v>46236</v>
      </c>
      <c r="D20" s="15">
        <v>46254</v>
      </c>
      <c r="E20" s="16">
        <v>4</v>
      </c>
      <c r="F20" s="16">
        <v>5</v>
      </c>
      <c r="G20" s="14" t="s">
        <v>991</v>
      </c>
      <c r="H20" s="14" t="s">
        <v>992</v>
      </c>
      <c r="I20" s="14" t="s">
        <v>993</v>
      </c>
    </row>
    <row r="21" spans="1:9" ht="49.65" customHeight="1">
      <c r="A21" s="14" t="s">
        <v>994</v>
      </c>
      <c r="B21" s="14" t="s">
        <v>990</v>
      </c>
      <c r="C21" s="15">
        <v>46236</v>
      </c>
      <c r="D21" s="15">
        <v>46272</v>
      </c>
      <c r="E21" s="16">
        <v>4</v>
      </c>
      <c r="F21" s="16">
        <v>5</v>
      </c>
      <c r="G21" s="14" t="s">
        <v>995</v>
      </c>
      <c r="H21" s="14" t="s">
        <v>992</v>
      </c>
      <c r="I21" s="14" t="s">
        <v>996</v>
      </c>
    </row>
    <row r="22" spans="1:9" ht="49.65" customHeight="1">
      <c r="A22" s="14" t="s">
        <v>997</v>
      </c>
      <c r="B22" s="14" t="s">
        <v>934</v>
      </c>
      <c r="C22" s="15">
        <v>46231</v>
      </c>
      <c r="D22" s="15">
        <v>46290</v>
      </c>
      <c r="E22" s="16">
        <v>4</v>
      </c>
      <c r="F22" s="16">
        <v>5</v>
      </c>
      <c r="G22" s="14" t="s">
        <v>998</v>
      </c>
      <c r="H22" s="14" t="s">
        <v>999</v>
      </c>
      <c r="I22" s="14" t="s">
        <v>1000</v>
      </c>
    </row>
    <row r="23" spans="1:9" ht="49.65" customHeight="1">
      <c r="A23" s="14" t="s">
        <v>1001</v>
      </c>
      <c r="B23" s="14" t="s">
        <v>1002</v>
      </c>
      <c r="C23" s="15">
        <v>46227</v>
      </c>
      <c r="D23" s="15">
        <v>46248</v>
      </c>
      <c r="E23" s="16">
        <v>2.5</v>
      </c>
      <c r="F23" s="16">
        <v>3.5</v>
      </c>
      <c r="G23" s="14" t="s">
        <v>1003</v>
      </c>
      <c r="H23" s="14" t="s">
        <v>1004</v>
      </c>
      <c r="I23" s="14" t="s">
        <v>1005</v>
      </c>
    </row>
  </sheetData>
  <mergeCells count="2">
    <mergeCell ref="A1:I1"/>
    <mergeCell ref="A2:I2"/>
  </mergeCells>
  <conditionalFormatting sqref="E5:F23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"/>
  <sheetViews>
    <sheetView topLeftCell="A6" workbookViewId="0">
      <selection activeCell="B5" sqref="B5"/>
    </sheetView>
  </sheetViews>
  <sheetFormatPr defaultRowHeight="13.8"/>
  <cols>
    <col min="1" max="1" width="10" customWidth="1"/>
    <col min="2" max="2" width="29" customWidth="1"/>
    <col min="3" max="3" width="66" customWidth="1"/>
    <col min="4" max="4" width="48" customWidth="1"/>
    <col min="5" max="6" width="13" customWidth="1"/>
    <col min="7" max="7" width="58" customWidth="1"/>
    <col min="8" max="8" width="46" customWidth="1"/>
  </cols>
  <sheetData>
    <row r="1" spans="1:8" ht="22.35" customHeight="1">
      <c r="A1" s="21" t="s">
        <v>1006</v>
      </c>
      <c r="B1" s="21"/>
      <c r="C1" s="21"/>
      <c r="D1" s="21"/>
      <c r="E1" s="21"/>
      <c r="F1" s="21"/>
      <c r="G1" s="21"/>
      <c r="H1" s="21"/>
    </row>
    <row r="2" spans="1:8" ht="27.15" customHeight="1">
      <c r="A2" s="22" t="s">
        <v>1007</v>
      </c>
      <c r="B2" s="22"/>
      <c r="C2" s="22"/>
      <c r="D2" s="22"/>
      <c r="E2" s="22"/>
      <c r="F2" s="22"/>
      <c r="G2" s="22"/>
      <c r="H2" s="22"/>
    </row>
    <row r="4" spans="1:8" ht="25.65" customHeight="1">
      <c r="A4" s="13" t="s">
        <v>1008</v>
      </c>
      <c r="B4" s="13" t="s">
        <v>0</v>
      </c>
      <c r="C4" s="13" t="s">
        <v>1009</v>
      </c>
      <c r="D4" s="13" t="s">
        <v>1010</v>
      </c>
      <c r="E4" s="13" t="s">
        <v>766</v>
      </c>
      <c r="F4" s="13" t="s">
        <v>767</v>
      </c>
      <c r="G4" s="13" t="s">
        <v>1011</v>
      </c>
      <c r="H4" s="13" t="s">
        <v>1012</v>
      </c>
    </row>
    <row r="5" spans="1:8" ht="72" customHeight="1">
      <c r="A5" s="14">
        <v>1</v>
      </c>
      <c r="B5" s="14" t="s">
        <v>781</v>
      </c>
      <c r="C5" s="14" t="s">
        <v>1013</v>
      </c>
      <c r="D5" s="14" t="s">
        <v>1014</v>
      </c>
      <c r="E5" s="15">
        <v>46236</v>
      </c>
      <c r="F5" s="15">
        <v>46278</v>
      </c>
      <c r="G5" s="14" t="s">
        <v>1015</v>
      </c>
      <c r="H5" s="14" t="s">
        <v>783</v>
      </c>
    </row>
    <row r="6" spans="1:8" ht="72" customHeight="1">
      <c r="A6" s="14">
        <v>2</v>
      </c>
      <c r="B6" s="14" t="s">
        <v>775</v>
      </c>
      <c r="C6" s="14" t="s">
        <v>1016</v>
      </c>
      <c r="D6" s="14" t="s">
        <v>1017</v>
      </c>
      <c r="E6" s="15">
        <v>46230</v>
      </c>
      <c r="F6" s="15">
        <v>46266</v>
      </c>
      <c r="G6" s="14" t="s">
        <v>1018</v>
      </c>
      <c r="H6" s="14" t="s">
        <v>25</v>
      </c>
    </row>
    <row r="7" spans="1:8" ht="72" customHeight="1">
      <c r="A7" s="14">
        <v>3</v>
      </c>
      <c r="B7" s="14" t="s">
        <v>479</v>
      </c>
      <c r="C7" s="14" t="s">
        <v>1019</v>
      </c>
      <c r="D7" s="14" t="s">
        <v>1020</v>
      </c>
      <c r="E7" s="15">
        <v>46249</v>
      </c>
      <c r="F7" s="15">
        <v>46285</v>
      </c>
      <c r="G7" s="14" t="s">
        <v>1021</v>
      </c>
      <c r="H7" s="14" t="s">
        <v>480</v>
      </c>
    </row>
    <row r="8" spans="1:8" ht="72" customHeight="1">
      <c r="A8" s="14">
        <v>4</v>
      </c>
      <c r="B8" s="14" t="s">
        <v>785</v>
      </c>
      <c r="C8" s="14" t="s">
        <v>1022</v>
      </c>
      <c r="D8" s="14" t="s">
        <v>1023</v>
      </c>
      <c r="E8" s="15">
        <v>46234</v>
      </c>
      <c r="F8" s="15">
        <v>46275</v>
      </c>
      <c r="G8" s="14" t="s">
        <v>1024</v>
      </c>
      <c r="H8" s="14" t="s">
        <v>787</v>
      </c>
    </row>
    <row r="9" spans="1:8" ht="72" customHeight="1">
      <c r="A9" s="14">
        <v>5</v>
      </c>
      <c r="B9" s="14" t="s">
        <v>459</v>
      </c>
      <c r="C9" s="14" t="s">
        <v>1025</v>
      </c>
      <c r="D9" s="14" t="s">
        <v>1026</v>
      </c>
      <c r="E9" s="15">
        <v>46241</v>
      </c>
      <c r="F9" s="15">
        <v>46272</v>
      </c>
      <c r="G9" s="14" t="s">
        <v>1027</v>
      </c>
      <c r="H9" s="14" t="s">
        <v>793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6"/>
  <sheetViews>
    <sheetView workbookViewId="0">
      <selection sqref="A1:G1"/>
    </sheetView>
  </sheetViews>
  <sheetFormatPr defaultRowHeight="13.8"/>
  <cols>
    <col min="1" max="1" width="36" customWidth="1"/>
    <col min="2" max="2" width="18" customWidth="1"/>
    <col min="3" max="3" width="75" customWidth="1"/>
    <col min="4" max="7" width="20" customWidth="1"/>
  </cols>
  <sheetData>
    <row r="1" spans="1:7" ht="22.35" customHeight="1">
      <c r="A1" s="21" t="s">
        <v>1028</v>
      </c>
      <c r="B1" s="21"/>
      <c r="C1" s="21"/>
      <c r="D1" s="21"/>
      <c r="E1" s="21"/>
      <c r="F1" s="21"/>
      <c r="G1" s="21"/>
    </row>
    <row r="2" spans="1:7" ht="27.15" customHeight="1">
      <c r="A2" s="22" t="s">
        <v>1029</v>
      </c>
      <c r="B2" s="22"/>
      <c r="C2" s="22"/>
      <c r="D2" s="22"/>
      <c r="E2" s="22"/>
      <c r="F2" s="22"/>
      <c r="G2" s="22"/>
    </row>
    <row r="4" spans="1:7" ht="25.65" customHeight="1">
      <c r="A4" s="13" t="s">
        <v>1030</v>
      </c>
      <c r="B4" s="13" t="s">
        <v>255</v>
      </c>
      <c r="C4" s="13" t="s">
        <v>1031</v>
      </c>
    </row>
    <row r="5" spans="1:7" ht="30.45" customHeight="1">
      <c r="A5" s="14" t="s">
        <v>1032</v>
      </c>
      <c r="B5" s="18">
        <v>0.3</v>
      </c>
      <c r="C5" s="14" t="s">
        <v>1033</v>
      </c>
    </row>
    <row r="6" spans="1:7" ht="30.45" customHeight="1">
      <c r="A6" s="14" t="s">
        <v>1034</v>
      </c>
      <c r="B6" s="18">
        <v>0.25</v>
      </c>
      <c r="C6" s="14" t="s">
        <v>1035</v>
      </c>
    </row>
    <row r="7" spans="1:7" ht="30.45" customHeight="1">
      <c r="A7" s="14" t="s">
        <v>1036</v>
      </c>
      <c r="B7" s="18">
        <v>0.15</v>
      </c>
      <c r="C7" s="14" t="s">
        <v>1037</v>
      </c>
    </row>
    <row r="8" spans="1:7" ht="30.45" customHeight="1">
      <c r="A8" s="14" t="s">
        <v>1038</v>
      </c>
      <c r="B8" s="18">
        <v>0.15</v>
      </c>
      <c r="C8" s="14" t="s">
        <v>1039</v>
      </c>
    </row>
    <row r="9" spans="1:7" ht="30.45" customHeight="1">
      <c r="A9" s="14" t="s">
        <v>1040</v>
      </c>
      <c r="B9" s="18">
        <v>0.1</v>
      </c>
      <c r="C9" s="14" t="s">
        <v>1041</v>
      </c>
    </row>
    <row r="10" spans="1:7" ht="30.45" customHeight="1">
      <c r="A10" s="14" t="s">
        <v>1042</v>
      </c>
      <c r="B10" s="18">
        <v>0.05</v>
      </c>
      <c r="C10" s="14" t="s">
        <v>1043</v>
      </c>
    </row>
    <row r="11" spans="1:7" ht="30.45" customHeight="1"/>
    <row r="12" spans="1:7" ht="30.45" customHeight="1"/>
    <row r="13" spans="1:7" ht="30.45" customHeight="1">
      <c r="A13" s="13" t="s">
        <v>1044</v>
      </c>
      <c r="B13" s="13" t="s">
        <v>768</v>
      </c>
      <c r="C13" s="13" t="s">
        <v>9</v>
      </c>
      <c r="D13" s="13" t="s">
        <v>1045</v>
      </c>
      <c r="E13" s="13" t="s">
        <v>699</v>
      </c>
      <c r="F13" s="13" t="s">
        <v>698</v>
      </c>
      <c r="G13" s="13" t="s">
        <v>1046</v>
      </c>
    </row>
    <row r="14" spans="1:7" ht="30.45" customHeight="1">
      <c r="A14" s="14">
        <v>5</v>
      </c>
      <c r="B14" s="14" t="s">
        <v>1047</v>
      </c>
      <c r="C14" s="14" t="s">
        <v>1048</v>
      </c>
      <c r="D14" s="14" t="s">
        <v>1049</v>
      </c>
      <c r="E14" s="14" t="s">
        <v>1050</v>
      </c>
      <c r="F14" s="14" t="s">
        <v>1051</v>
      </c>
      <c r="G14" s="14" t="s">
        <v>1052</v>
      </c>
    </row>
    <row r="15" spans="1:7" ht="30.45" customHeight="1">
      <c r="A15" s="14">
        <v>4</v>
      </c>
      <c r="B15" s="14" t="s">
        <v>1053</v>
      </c>
      <c r="C15" s="14" t="s">
        <v>1054</v>
      </c>
      <c r="D15" s="14" t="s">
        <v>1055</v>
      </c>
      <c r="E15" s="14" t="s">
        <v>1056</v>
      </c>
      <c r="F15" s="14" t="s">
        <v>1057</v>
      </c>
      <c r="G15" s="14" t="s">
        <v>1058</v>
      </c>
    </row>
    <row r="16" spans="1:7" ht="30.45" customHeight="1">
      <c r="A16" s="14">
        <v>3</v>
      </c>
      <c r="B16" s="14" t="s">
        <v>1059</v>
      </c>
      <c r="C16" s="14" t="s">
        <v>1060</v>
      </c>
      <c r="D16" s="14" t="s">
        <v>1061</v>
      </c>
      <c r="E16" s="14" t="s">
        <v>1062</v>
      </c>
      <c r="F16" s="14" t="s">
        <v>1063</v>
      </c>
      <c r="G16" s="14" t="s">
        <v>1064</v>
      </c>
    </row>
    <row r="17" spans="1:7" ht="30.45" customHeight="1">
      <c r="A17" s="14">
        <v>2</v>
      </c>
      <c r="B17" s="14" t="s">
        <v>1065</v>
      </c>
      <c r="C17" s="14" t="s">
        <v>1066</v>
      </c>
      <c r="D17" s="14" t="s">
        <v>1067</v>
      </c>
      <c r="E17" s="14" t="s">
        <v>1068</v>
      </c>
      <c r="F17" s="14" t="s">
        <v>1069</v>
      </c>
      <c r="G17" s="14" t="s">
        <v>1070</v>
      </c>
    </row>
    <row r="18" spans="1:7" ht="30.45" customHeight="1">
      <c r="A18" s="14">
        <v>1</v>
      </c>
      <c r="B18" s="14" t="s">
        <v>1071</v>
      </c>
      <c r="C18" s="14" t="s">
        <v>1072</v>
      </c>
      <c r="D18" s="14" t="s">
        <v>1073</v>
      </c>
      <c r="E18" s="14" t="s">
        <v>1074</v>
      </c>
      <c r="F18" s="14" t="s">
        <v>1075</v>
      </c>
      <c r="G18" s="14" t="s">
        <v>1076</v>
      </c>
    </row>
    <row r="19" spans="1:7" ht="30.45" customHeight="1"/>
    <row r="20" spans="1:7" ht="30.45" customHeight="1"/>
    <row r="21" spans="1:7" ht="30.45" customHeight="1">
      <c r="A21" s="13" t="s">
        <v>1077</v>
      </c>
      <c r="B21" s="13" t="s">
        <v>1078</v>
      </c>
    </row>
    <row r="22" spans="1:7" ht="30.45" customHeight="1">
      <c r="A22" s="14" t="s">
        <v>1079</v>
      </c>
      <c r="B22" s="14" t="s">
        <v>1080</v>
      </c>
    </row>
    <row r="23" spans="1:7" ht="30.45" customHeight="1">
      <c r="A23" s="14" t="s">
        <v>1081</v>
      </c>
      <c r="B23" s="14" t="s">
        <v>1082</v>
      </c>
    </row>
    <row r="24" spans="1:7" ht="30.45" customHeight="1">
      <c r="A24" s="14" t="s">
        <v>1083</v>
      </c>
      <c r="B24" s="14" t="s">
        <v>1084</v>
      </c>
    </row>
    <row r="25" spans="1:7" ht="30.45" customHeight="1">
      <c r="A25" s="14" t="s">
        <v>1085</v>
      </c>
      <c r="B25" s="14" t="s">
        <v>1086</v>
      </c>
    </row>
    <row r="26" spans="1:7" ht="30.45" customHeight="1">
      <c r="A26" s="14" t="s">
        <v>1087</v>
      </c>
      <c r="B26" s="14" t="s">
        <v>1088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topLeftCell="B2" workbookViewId="0">
      <selection sqref="A1:H1"/>
    </sheetView>
  </sheetViews>
  <sheetFormatPr defaultRowHeight="13.8"/>
  <cols>
    <col min="1" max="1" width="10" customWidth="1"/>
    <col min="2" max="2" width="31" customWidth="1"/>
    <col min="3" max="7" width="13" customWidth="1"/>
    <col min="8" max="8" width="62" customWidth="1"/>
  </cols>
  <sheetData>
    <row r="1" spans="1:8" ht="22.35" customHeight="1">
      <c r="A1" s="21" t="s">
        <v>1089</v>
      </c>
      <c r="B1" s="21"/>
      <c r="C1" s="21"/>
      <c r="D1" s="21"/>
      <c r="E1" s="21"/>
      <c r="F1" s="21"/>
      <c r="G1" s="21"/>
      <c r="H1" s="21"/>
    </row>
    <row r="2" spans="1:8" ht="27.15" customHeight="1">
      <c r="A2" s="22" t="s">
        <v>1090</v>
      </c>
      <c r="B2" s="22"/>
      <c r="C2" s="22"/>
      <c r="D2" s="22"/>
      <c r="E2" s="22"/>
      <c r="F2" s="22"/>
      <c r="G2" s="22"/>
      <c r="H2" s="22"/>
    </row>
    <row r="4" spans="1:8" ht="25.65" customHeight="1">
      <c r="A4" s="13" t="s">
        <v>1091</v>
      </c>
      <c r="B4" s="13" t="s">
        <v>0</v>
      </c>
      <c r="C4" s="13" t="s">
        <v>766</v>
      </c>
      <c r="D4" s="13" t="s">
        <v>1092</v>
      </c>
      <c r="E4" s="13" t="s">
        <v>768</v>
      </c>
      <c r="F4" s="13" t="s">
        <v>770</v>
      </c>
      <c r="G4" s="13" t="s">
        <v>1093</v>
      </c>
      <c r="H4" s="13" t="s">
        <v>1094</v>
      </c>
    </row>
    <row r="5" spans="1:8" ht="40.049999999999997" customHeight="1">
      <c r="A5" s="14">
        <v>1</v>
      </c>
      <c r="B5" s="14" t="s">
        <v>795</v>
      </c>
      <c r="C5" s="15">
        <v>46227</v>
      </c>
      <c r="D5" s="16">
        <v>0</v>
      </c>
      <c r="E5" s="16">
        <v>4.5</v>
      </c>
      <c r="F5" s="16">
        <v>4.47</v>
      </c>
      <c r="G5" s="14" t="s">
        <v>1095</v>
      </c>
      <c r="H5" s="14" t="s">
        <v>1096</v>
      </c>
    </row>
    <row r="6" spans="1:8" ht="40.049999999999997" customHeight="1">
      <c r="A6" s="14">
        <v>2</v>
      </c>
      <c r="B6" s="14" t="s">
        <v>838</v>
      </c>
      <c r="C6" s="15">
        <v>46227</v>
      </c>
      <c r="D6" s="16">
        <v>0</v>
      </c>
      <c r="E6" s="16">
        <v>3</v>
      </c>
      <c r="F6" s="16">
        <v>3.95</v>
      </c>
      <c r="G6" s="14" t="s">
        <v>1095</v>
      </c>
      <c r="H6" s="14" t="s">
        <v>1097</v>
      </c>
    </row>
    <row r="7" spans="1:8" ht="40.049999999999997" customHeight="1">
      <c r="A7" s="14">
        <v>3</v>
      </c>
      <c r="B7" s="14" t="s">
        <v>775</v>
      </c>
      <c r="C7" s="15">
        <v>46230</v>
      </c>
      <c r="D7" s="16">
        <v>3</v>
      </c>
      <c r="E7" s="16">
        <v>5</v>
      </c>
      <c r="F7" s="16">
        <v>4.78</v>
      </c>
      <c r="G7" s="14" t="s">
        <v>1098</v>
      </c>
      <c r="H7" s="14" t="s">
        <v>1099</v>
      </c>
    </row>
    <row r="8" spans="1:8" ht="40.049999999999997" customHeight="1">
      <c r="A8" s="14">
        <v>4</v>
      </c>
      <c r="B8" s="14" t="s">
        <v>785</v>
      </c>
      <c r="C8" s="15">
        <v>46234</v>
      </c>
      <c r="D8" s="16">
        <v>7</v>
      </c>
      <c r="E8" s="16">
        <v>4.5</v>
      </c>
      <c r="F8" s="16">
        <v>4.5</v>
      </c>
      <c r="G8" s="14" t="s">
        <v>1098</v>
      </c>
      <c r="H8" s="14" t="s">
        <v>1100</v>
      </c>
    </row>
    <row r="9" spans="1:8" ht="40.049999999999997" customHeight="1">
      <c r="A9" s="14">
        <v>5</v>
      </c>
      <c r="B9" s="14" t="s">
        <v>800</v>
      </c>
      <c r="C9" s="15">
        <v>46234</v>
      </c>
      <c r="D9" s="16">
        <v>7</v>
      </c>
      <c r="E9" s="16">
        <v>4.5</v>
      </c>
      <c r="F9" s="16">
        <v>4.47</v>
      </c>
      <c r="G9" s="14" t="s">
        <v>1098</v>
      </c>
      <c r="H9" s="14" t="s">
        <v>1101</v>
      </c>
    </row>
    <row r="10" spans="1:8" ht="40.049999999999997" customHeight="1">
      <c r="A10" s="14">
        <v>6</v>
      </c>
      <c r="B10" s="14" t="s">
        <v>807</v>
      </c>
      <c r="C10" s="15">
        <v>46234</v>
      </c>
      <c r="D10" s="16">
        <v>7</v>
      </c>
      <c r="E10" s="16">
        <v>4</v>
      </c>
      <c r="F10" s="16">
        <v>4.4000000000000004</v>
      </c>
      <c r="G10" s="14" t="s">
        <v>1098</v>
      </c>
      <c r="H10" s="14" t="s">
        <v>1102</v>
      </c>
    </row>
    <row r="11" spans="1:8" ht="40.049999999999997" customHeight="1">
      <c r="A11" s="14">
        <v>7</v>
      </c>
      <c r="B11" s="14" t="s">
        <v>45</v>
      </c>
      <c r="C11" s="15">
        <v>46234</v>
      </c>
      <c r="D11" s="16">
        <v>7</v>
      </c>
      <c r="E11" s="16">
        <v>4</v>
      </c>
      <c r="F11" s="16">
        <v>4.3499999999999996</v>
      </c>
      <c r="G11" s="14" t="s">
        <v>1098</v>
      </c>
      <c r="H11" s="14" t="s">
        <v>1103</v>
      </c>
    </row>
    <row r="12" spans="1:8" ht="40.049999999999997" customHeight="1">
      <c r="A12" s="14">
        <v>8</v>
      </c>
      <c r="B12" s="14" t="s">
        <v>781</v>
      </c>
      <c r="C12" s="15">
        <v>46236</v>
      </c>
      <c r="D12" s="16">
        <v>9</v>
      </c>
      <c r="E12" s="16">
        <v>5</v>
      </c>
      <c r="F12" s="16">
        <v>4.7699999999999996</v>
      </c>
      <c r="G12" s="14" t="s">
        <v>1104</v>
      </c>
      <c r="H12" s="14" t="s">
        <v>1105</v>
      </c>
    </row>
    <row r="13" spans="1:8" ht="40.049999999999997" customHeight="1">
      <c r="A13" s="14">
        <v>9</v>
      </c>
      <c r="B13" s="14" t="s">
        <v>815</v>
      </c>
      <c r="C13" s="15">
        <v>46239</v>
      </c>
      <c r="D13" s="16">
        <v>12</v>
      </c>
      <c r="E13" s="16">
        <v>4.5</v>
      </c>
      <c r="F13" s="16">
        <v>4.38</v>
      </c>
      <c r="G13" s="14" t="s">
        <v>1104</v>
      </c>
      <c r="H13" s="14" t="s">
        <v>1106</v>
      </c>
    </row>
    <row r="14" spans="1:8" ht="40.049999999999997" customHeight="1">
      <c r="A14" s="14">
        <v>10</v>
      </c>
      <c r="B14" s="14" t="s">
        <v>459</v>
      </c>
      <c r="C14" s="15">
        <v>46241</v>
      </c>
      <c r="D14" s="16">
        <v>14</v>
      </c>
      <c r="E14" s="16">
        <v>4</v>
      </c>
      <c r="F14" s="16">
        <v>4.5</v>
      </c>
      <c r="G14" s="14" t="s">
        <v>1104</v>
      </c>
      <c r="H14" s="14" t="s">
        <v>1107</v>
      </c>
    </row>
    <row r="15" spans="1:8" ht="40.049999999999997" customHeight="1">
      <c r="A15" s="14">
        <v>11</v>
      </c>
      <c r="B15" s="14" t="s">
        <v>821</v>
      </c>
      <c r="C15" s="15">
        <v>46241</v>
      </c>
      <c r="D15" s="16">
        <v>14</v>
      </c>
      <c r="E15" s="16">
        <v>4.5</v>
      </c>
      <c r="F15" s="16">
        <v>4.22</v>
      </c>
      <c r="G15" s="14" t="s">
        <v>1104</v>
      </c>
      <c r="H15" s="14" t="s">
        <v>1108</v>
      </c>
    </row>
    <row r="16" spans="1:8" ht="40.049999999999997" customHeight="1">
      <c r="A16" s="14">
        <v>12</v>
      </c>
      <c r="B16" s="14" t="s">
        <v>831</v>
      </c>
      <c r="C16" s="15">
        <v>46241</v>
      </c>
      <c r="D16" s="16">
        <v>14</v>
      </c>
      <c r="E16" s="16">
        <v>3</v>
      </c>
      <c r="F16" s="16">
        <v>4.1500000000000004</v>
      </c>
      <c r="G16" s="14" t="s">
        <v>1104</v>
      </c>
      <c r="H16" s="14" t="s">
        <v>1109</v>
      </c>
    </row>
    <row r="17" spans="1:8" ht="40.049999999999997" customHeight="1">
      <c r="A17" s="14">
        <v>13</v>
      </c>
      <c r="B17" s="14" t="s">
        <v>479</v>
      </c>
      <c r="C17" s="15">
        <v>46249</v>
      </c>
      <c r="D17" s="16">
        <v>22</v>
      </c>
      <c r="E17" s="16">
        <v>5</v>
      </c>
      <c r="F17" s="16">
        <v>4.4000000000000004</v>
      </c>
      <c r="G17" s="14" t="s">
        <v>1110</v>
      </c>
      <c r="H17" s="14" t="s">
        <v>1111</v>
      </c>
    </row>
    <row r="18" spans="1:8" ht="40.049999999999997" customHeight="1">
      <c r="A18" s="14">
        <v>14</v>
      </c>
      <c r="B18" s="14" t="s">
        <v>826</v>
      </c>
      <c r="C18" s="15">
        <v>46249</v>
      </c>
      <c r="D18" s="16">
        <v>22</v>
      </c>
      <c r="E18" s="16">
        <v>4</v>
      </c>
      <c r="F18" s="16">
        <v>4.2</v>
      </c>
      <c r="G18" s="14" t="s">
        <v>1110</v>
      </c>
      <c r="H18" s="14" t="s">
        <v>1112</v>
      </c>
    </row>
    <row r="19" spans="1:8" ht="40.049999999999997" customHeight="1">
      <c r="A19" s="14">
        <v>15</v>
      </c>
      <c r="B19" s="14" t="s">
        <v>69</v>
      </c>
      <c r="C19" s="15">
        <v>46249</v>
      </c>
      <c r="D19" s="16">
        <v>22</v>
      </c>
      <c r="E19" s="16">
        <v>4</v>
      </c>
      <c r="F19" s="16">
        <v>3.97</v>
      </c>
      <c r="G19" s="14" t="s">
        <v>1110</v>
      </c>
      <c r="H19" s="14" t="s">
        <v>1113</v>
      </c>
    </row>
    <row r="20" spans="1:8" ht="40.049999999999997" customHeight="1">
      <c r="A20" s="14">
        <v>16</v>
      </c>
      <c r="B20" s="14" t="s">
        <v>76</v>
      </c>
      <c r="C20" s="15">
        <v>46251</v>
      </c>
      <c r="D20" s="16">
        <v>24</v>
      </c>
      <c r="E20" s="16">
        <v>3.5</v>
      </c>
      <c r="F20" s="16">
        <v>3.8</v>
      </c>
      <c r="G20" s="14" t="s">
        <v>1110</v>
      </c>
      <c r="H20" s="14" t="s">
        <v>1114</v>
      </c>
    </row>
    <row r="21" spans="1:8" ht="40.049999999999997" customHeight="1">
      <c r="A21" s="14">
        <v>17</v>
      </c>
      <c r="B21" s="14" t="s">
        <v>133</v>
      </c>
      <c r="C21" s="15">
        <v>46255</v>
      </c>
      <c r="D21" s="16">
        <v>28</v>
      </c>
      <c r="E21" s="16">
        <v>4</v>
      </c>
      <c r="F21" s="16">
        <v>3.3</v>
      </c>
      <c r="G21" s="14" t="s">
        <v>1110</v>
      </c>
      <c r="H21" s="14" t="s">
        <v>1115</v>
      </c>
    </row>
  </sheetData>
  <mergeCells count="2">
    <mergeCell ref="A1:H1"/>
    <mergeCell ref="A2:H2"/>
  </mergeCells>
  <conditionalFormatting sqref="G5:G21">
    <cfRule type="expression" dxfId="1" priority="1">
      <formula>G5="TODAY"</formula>
    </cfRule>
    <cfRule type="expression" dxfId="0" priority="2">
      <formula>G5="≤ 7 days"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Candidate Comparison</vt:lpstr>
      <vt:lpstr>Closed-Rejected</vt:lpstr>
      <vt:lpstr>Scoring Method</vt:lpstr>
      <vt:lpstr>Search Sources</vt:lpstr>
      <vt:lpstr>All Options + Extension Watch</vt:lpstr>
      <vt:lpstr>37 Venue Acceptance Rates</vt:lpstr>
      <vt:lpstr>Reassessed 27 Venues</vt:lpstr>
      <vt:lpstr>AI Governance Reassessment</vt:lpstr>
      <vt:lpstr>Verified Open</vt:lpstr>
      <vt:lpstr>Seed Audit 27</vt:lpstr>
      <vt:lpstr>Conditional Recovery</vt:lpstr>
      <vt:lpstr>Top 5 Recommendations</vt:lpstr>
      <vt:lpstr>Method &amp; Legend</vt:lpstr>
      <vt:lpstr>Deadline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Gunasekaran</cp:lastModifiedBy>
  <dcterms:modified xsi:type="dcterms:W3CDTF">2026-07-24T23:06:18Z</dcterms:modified>
</cp:coreProperties>
</file>